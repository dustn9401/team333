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ys\Documents\"/>
    </mc:Choice>
  </mc:AlternateContent>
  <bookViews>
    <workbookView xWindow="0" yWindow="0" windowWidth="13440" windowHeight="549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  <c r="K1" i="1"/>
  <c r="H1" i="1"/>
  <c r="C1" i="1"/>
  <c r="F22" i="1"/>
  <c r="H22" i="1"/>
  <c r="K22" i="1"/>
  <c r="M22" i="1"/>
  <c r="C23" i="1"/>
  <c r="F23" i="1"/>
  <c r="H23" i="1"/>
  <c r="M23" i="1"/>
  <c r="F24" i="1"/>
  <c r="H24" i="1"/>
  <c r="K24" i="1"/>
  <c r="M24" i="1"/>
  <c r="C25" i="1"/>
  <c r="F25" i="1"/>
  <c r="H25" i="1"/>
  <c r="M25" i="1"/>
  <c r="F26" i="1"/>
  <c r="M26" i="1" s="1"/>
  <c r="H26" i="1"/>
  <c r="K26" i="1"/>
  <c r="C27" i="1"/>
  <c r="F27" i="1"/>
  <c r="M27" i="1" s="1"/>
  <c r="H27" i="1"/>
  <c r="F28" i="1"/>
  <c r="H28" i="1"/>
  <c r="K28" i="1"/>
  <c r="M28" i="1"/>
  <c r="F29" i="1"/>
  <c r="H29" i="1"/>
  <c r="M29" i="1" s="1"/>
  <c r="C30" i="1"/>
  <c r="K30" i="1"/>
  <c r="F31" i="1"/>
  <c r="H31" i="1"/>
  <c r="K31" i="1"/>
  <c r="K39" i="1" s="1"/>
  <c r="M31" i="1"/>
  <c r="C32" i="1"/>
  <c r="F32" i="1"/>
  <c r="M32" i="1" s="1"/>
  <c r="H32" i="1"/>
  <c r="F33" i="1"/>
  <c r="H33" i="1"/>
  <c r="K33" i="1"/>
  <c r="M33" i="1"/>
  <c r="C34" i="1"/>
  <c r="F34" i="1"/>
  <c r="M34" i="1" s="1"/>
  <c r="H34" i="1"/>
  <c r="F35" i="1"/>
  <c r="H35" i="1"/>
  <c r="K35" i="1"/>
  <c r="M35" i="1"/>
  <c r="C36" i="1"/>
  <c r="F36" i="1"/>
  <c r="M36" i="1" s="1"/>
  <c r="H36" i="1"/>
  <c r="F37" i="1"/>
  <c r="H37" i="1"/>
  <c r="K37" i="1"/>
  <c r="M37" i="1"/>
  <c r="F38" i="1"/>
  <c r="H38" i="1"/>
  <c r="H39" i="1" s="1"/>
  <c r="F40" i="1"/>
  <c r="H40" i="1"/>
  <c r="K40" i="1"/>
  <c r="C41" i="1"/>
  <c r="F41" i="1"/>
  <c r="H41" i="1"/>
  <c r="M41" i="1"/>
  <c r="F42" i="1"/>
  <c r="H42" i="1"/>
  <c r="K42" i="1"/>
  <c r="C43" i="1"/>
  <c r="F43" i="1"/>
  <c r="H43" i="1"/>
  <c r="M43" i="1"/>
  <c r="F44" i="1"/>
  <c r="M44" i="1" s="1"/>
  <c r="H44" i="1"/>
  <c r="K44" i="1"/>
  <c r="C45" i="1"/>
  <c r="F45" i="1"/>
  <c r="H45" i="1"/>
  <c r="M45" i="1"/>
  <c r="F46" i="1"/>
  <c r="H46" i="1"/>
  <c r="K46" i="1"/>
  <c r="F47" i="1"/>
  <c r="M47" i="1" s="1"/>
  <c r="H47" i="1"/>
  <c r="C48" i="1"/>
  <c r="F48" i="1"/>
  <c r="H48" i="1"/>
  <c r="K48" i="1"/>
  <c r="F49" i="1"/>
  <c r="M49" i="1" s="1"/>
  <c r="H49" i="1"/>
  <c r="K49" i="1"/>
  <c r="C50" i="1"/>
  <c r="F50" i="1"/>
  <c r="M50" i="1" s="1"/>
  <c r="H50" i="1"/>
  <c r="F51" i="1"/>
  <c r="M51" i="1" s="1"/>
  <c r="H51" i="1"/>
  <c r="K51" i="1"/>
  <c r="C52" i="1"/>
  <c r="F52" i="1"/>
  <c r="H52" i="1"/>
  <c r="F53" i="1"/>
  <c r="M53" i="1" s="1"/>
  <c r="H53" i="1"/>
  <c r="K53" i="1"/>
  <c r="C54" i="1"/>
  <c r="F54" i="1"/>
  <c r="M54" i="1" s="1"/>
  <c r="H54" i="1"/>
  <c r="F55" i="1"/>
  <c r="M55" i="1" s="1"/>
  <c r="H55" i="1"/>
  <c r="K55" i="1"/>
  <c r="F56" i="1"/>
  <c r="H56" i="1"/>
  <c r="M56" i="1"/>
  <c r="K57" i="1"/>
  <c r="F58" i="1"/>
  <c r="H58" i="1"/>
  <c r="K58" i="1"/>
  <c r="M58" i="1"/>
  <c r="C59" i="1"/>
  <c r="F59" i="1"/>
  <c r="H59" i="1"/>
  <c r="M59" i="1"/>
  <c r="F60" i="1"/>
  <c r="H60" i="1"/>
  <c r="K60" i="1"/>
  <c r="M60" i="1"/>
  <c r="C61" i="1"/>
  <c r="F61" i="1"/>
  <c r="H61" i="1"/>
  <c r="M61" i="1"/>
  <c r="F62" i="1"/>
  <c r="H62" i="1"/>
  <c r="K62" i="1"/>
  <c r="M62" i="1"/>
  <c r="C63" i="1"/>
  <c r="F63" i="1"/>
  <c r="H63" i="1"/>
  <c r="M63" i="1"/>
  <c r="F64" i="1"/>
  <c r="H64" i="1"/>
  <c r="K64" i="1"/>
  <c r="M64" i="1"/>
  <c r="F65" i="1"/>
  <c r="M65" i="1" s="1"/>
  <c r="H65" i="1"/>
  <c r="C66" i="1"/>
  <c r="H66" i="1"/>
  <c r="K66" i="1"/>
  <c r="F67" i="1"/>
  <c r="M67" i="1" s="1"/>
  <c r="H67" i="1"/>
  <c r="K67" i="1"/>
  <c r="C68" i="1"/>
  <c r="F68" i="1"/>
  <c r="H68" i="1"/>
  <c r="F69" i="1"/>
  <c r="M69" i="1" s="1"/>
  <c r="H69" i="1"/>
  <c r="K69" i="1"/>
  <c r="C70" i="1"/>
  <c r="F70" i="1"/>
  <c r="H70" i="1"/>
  <c r="M70" i="1" s="1"/>
  <c r="F71" i="1"/>
  <c r="M71" i="1" s="1"/>
  <c r="H71" i="1"/>
  <c r="K71" i="1"/>
  <c r="C72" i="1"/>
  <c r="F72" i="1"/>
  <c r="H72" i="1"/>
  <c r="M72" i="1" s="1"/>
  <c r="F73" i="1"/>
  <c r="M73" i="1" s="1"/>
  <c r="H73" i="1"/>
  <c r="K73" i="1"/>
  <c r="F74" i="1"/>
  <c r="H74" i="1"/>
  <c r="M74" i="1"/>
  <c r="C75" i="1"/>
  <c r="K75" i="1"/>
  <c r="F76" i="1"/>
  <c r="H76" i="1"/>
  <c r="K76" i="1"/>
  <c r="M76" i="1"/>
  <c r="C77" i="1"/>
  <c r="C84" i="1" s="1"/>
  <c r="F77" i="1"/>
  <c r="H77" i="1"/>
  <c r="F78" i="1"/>
  <c r="H78" i="1"/>
  <c r="K78" i="1"/>
  <c r="M78" i="1"/>
  <c r="C79" i="1"/>
  <c r="F79" i="1"/>
  <c r="M79" i="1" s="1"/>
  <c r="H79" i="1"/>
  <c r="F80" i="1"/>
  <c r="H80" i="1"/>
  <c r="K80" i="1"/>
  <c r="M80" i="1"/>
  <c r="C81" i="1"/>
  <c r="F81" i="1"/>
  <c r="M81" i="1" s="1"/>
  <c r="H81" i="1"/>
  <c r="F82" i="1"/>
  <c r="H82" i="1"/>
  <c r="K82" i="1"/>
  <c r="M82" i="1"/>
  <c r="F83" i="1"/>
  <c r="M83" i="1" s="1"/>
  <c r="H83" i="1"/>
  <c r="H84" i="1" s="1"/>
  <c r="K84" i="1"/>
  <c r="F85" i="1"/>
  <c r="M85" i="1" s="1"/>
  <c r="H85" i="1"/>
  <c r="K85" i="1"/>
  <c r="C86" i="1"/>
  <c r="F86" i="1"/>
  <c r="M86" i="1" s="1"/>
  <c r="H86" i="1"/>
  <c r="F87" i="1"/>
  <c r="M87" i="1" s="1"/>
  <c r="H87" i="1"/>
  <c r="K87" i="1"/>
  <c r="C88" i="1"/>
  <c r="F88" i="1"/>
  <c r="M88" i="1" s="1"/>
  <c r="H88" i="1"/>
  <c r="F89" i="1"/>
  <c r="M89" i="1" s="1"/>
  <c r="H89" i="1"/>
  <c r="K89" i="1"/>
  <c r="K93" i="1" s="1"/>
  <c r="C90" i="1"/>
  <c r="F90" i="1"/>
  <c r="M90" i="1" s="1"/>
  <c r="H90" i="1"/>
  <c r="F91" i="1"/>
  <c r="M91" i="1" s="1"/>
  <c r="H91" i="1"/>
  <c r="K91" i="1"/>
  <c r="F92" i="1"/>
  <c r="H92" i="1"/>
  <c r="M92" i="1" s="1"/>
  <c r="C93" i="1"/>
  <c r="H93" i="1"/>
  <c r="F94" i="1"/>
  <c r="H94" i="1"/>
  <c r="K94" i="1"/>
  <c r="M94" i="1"/>
  <c r="C95" i="1"/>
  <c r="F95" i="1"/>
  <c r="H95" i="1"/>
  <c r="M95" i="1"/>
  <c r="F96" i="1"/>
  <c r="M96" i="1" s="1"/>
  <c r="H96" i="1"/>
  <c r="K96" i="1"/>
  <c r="C97" i="1"/>
  <c r="F97" i="1"/>
  <c r="M97" i="1" s="1"/>
  <c r="H97" i="1"/>
  <c r="F98" i="1"/>
  <c r="M98" i="1" s="1"/>
  <c r="H98" i="1"/>
  <c r="K98" i="1"/>
  <c r="C99" i="1"/>
  <c r="F99" i="1"/>
  <c r="M99" i="1" s="1"/>
  <c r="H99" i="1"/>
  <c r="F100" i="1"/>
  <c r="M100" i="1" s="1"/>
  <c r="H100" i="1"/>
  <c r="K100" i="1"/>
  <c r="F101" i="1"/>
  <c r="H101" i="1"/>
  <c r="M101" i="1" s="1"/>
  <c r="C102" i="1"/>
  <c r="K102" i="1"/>
  <c r="F103" i="1"/>
  <c r="H103" i="1"/>
  <c r="K103" i="1"/>
  <c r="M103" i="1"/>
  <c r="C104" i="1"/>
  <c r="F104" i="1"/>
  <c r="M104" i="1" s="1"/>
  <c r="H104" i="1"/>
  <c r="F105" i="1"/>
  <c r="H105" i="1"/>
  <c r="K105" i="1"/>
  <c r="M105" i="1"/>
  <c r="C106" i="1"/>
  <c r="F106" i="1"/>
  <c r="M106" i="1" s="1"/>
  <c r="H106" i="1"/>
  <c r="F107" i="1"/>
  <c r="H107" i="1"/>
  <c r="K107" i="1"/>
  <c r="M107" i="1"/>
  <c r="C108" i="1"/>
  <c r="F108" i="1"/>
  <c r="M108" i="1" s="1"/>
  <c r="H108" i="1"/>
  <c r="F109" i="1"/>
  <c r="H109" i="1"/>
  <c r="K109" i="1"/>
  <c r="M109" i="1"/>
  <c r="F110" i="1"/>
  <c r="H110" i="1"/>
  <c r="H111" i="1" s="1"/>
  <c r="K111" i="1"/>
  <c r="F112" i="1"/>
  <c r="H112" i="1"/>
  <c r="H120" i="1" s="1"/>
  <c r="K112" i="1"/>
  <c r="C113" i="1"/>
  <c r="F113" i="1"/>
  <c r="H113" i="1"/>
  <c r="M113" i="1"/>
  <c r="F114" i="1"/>
  <c r="M114" i="1" s="1"/>
  <c r="H114" i="1"/>
  <c r="K114" i="1"/>
  <c r="C115" i="1"/>
  <c r="F115" i="1"/>
  <c r="H115" i="1"/>
  <c r="M115" i="1"/>
  <c r="F116" i="1"/>
  <c r="H116" i="1"/>
  <c r="K116" i="1"/>
  <c r="C117" i="1"/>
  <c r="F117" i="1"/>
  <c r="H117" i="1"/>
  <c r="M117" i="1"/>
  <c r="F118" i="1"/>
  <c r="H118" i="1"/>
  <c r="K118" i="1"/>
  <c r="F119" i="1"/>
  <c r="M119" i="1" s="1"/>
  <c r="H119" i="1"/>
  <c r="C120" i="1"/>
  <c r="F120" i="1"/>
  <c r="K120" i="1"/>
  <c r="F121" i="1"/>
  <c r="M121" i="1" s="1"/>
  <c r="H121" i="1"/>
  <c r="K121" i="1"/>
  <c r="C122" i="1"/>
  <c r="C129" i="1" s="1"/>
  <c r="F122" i="1"/>
  <c r="M122" i="1" s="1"/>
  <c r="H122" i="1"/>
  <c r="F123" i="1"/>
  <c r="M123" i="1" s="1"/>
  <c r="H123" i="1"/>
  <c r="K123" i="1"/>
  <c r="C124" i="1"/>
  <c r="F124" i="1"/>
  <c r="H124" i="1"/>
  <c r="F125" i="1"/>
  <c r="M125" i="1" s="1"/>
  <c r="H125" i="1"/>
  <c r="K125" i="1"/>
  <c r="C126" i="1"/>
  <c r="F126" i="1"/>
  <c r="H126" i="1"/>
  <c r="F127" i="1"/>
  <c r="M127" i="1" s="1"/>
  <c r="H127" i="1"/>
  <c r="K127" i="1"/>
  <c r="F128" i="1"/>
  <c r="M128" i="1" s="1"/>
  <c r="H128" i="1"/>
  <c r="K129" i="1"/>
  <c r="F130" i="1"/>
  <c r="H130" i="1"/>
  <c r="K130" i="1"/>
  <c r="M130" i="1"/>
  <c r="C131" i="1"/>
  <c r="F131" i="1"/>
  <c r="H131" i="1"/>
  <c r="M131" i="1"/>
  <c r="F132" i="1"/>
  <c r="H132" i="1"/>
  <c r="K132" i="1"/>
  <c r="M132" i="1"/>
  <c r="C133" i="1"/>
  <c r="F133" i="1"/>
  <c r="H133" i="1"/>
  <c r="M133" i="1"/>
  <c r="F134" i="1"/>
  <c r="H134" i="1"/>
  <c r="K134" i="1"/>
  <c r="M134" i="1"/>
  <c r="C135" i="1"/>
  <c r="F135" i="1"/>
  <c r="H135" i="1"/>
  <c r="M135" i="1"/>
  <c r="F136" i="1"/>
  <c r="H136" i="1"/>
  <c r="K136" i="1"/>
  <c r="M136" i="1"/>
  <c r="F137" i="1"/>
  <c r="M137" i="1" s="1"/>
  <c r="H137" i="1"/>
  <c r="C138" i="1"/>
  <c r="H138" i="1"/>
  <c r="K138" i="1"/>
  <c r="F139" i="1"/>
  <c r="M139" i="1" s="1"/>
  <c r="H139" i="1"/>
  <c r="K139" i="1"/>
  <c r="C140" i="1"/>
  <c r="F140" i="1"/>
  <c r="H140" i="1"/>
  <c r="F141" i="1"/>
  <c r="M141" i="1" s="1"/>
  <c r="H141" i="1"/>
  <c r="K141" i="1"/>
  <c r="C142" i="1"/>
  <c r="F142" i="1"/>
  <c r="H142" i="1"/>
  <c r="M142" i="1" s="1"/>
  <c r="F143" i="1"/>
  <c r="M143" i="1" s="1"/>
  <c r="H143" i="1"/>
  <c r="K143" i="1"/>
  <c r="C144" i="1"/>
  <c r="F144" i="1"/>
  <c r="H144" i="1"/>
  <c r="M144" i="1" s="1"/>
  <c r="F145" i="1"/>
  <c r="M145" i="1" s="1"/>
  <c r="H145" i="1"/>
  <c r="K145" i="1"/>
  <c r="F146" i="1"/>
  <c r="H146" i="1"/>
  <c r="M146" i="1"/>
  <c r="C147" i="1"/>
  <c r="F147" i="1"/>
  <c r="K147" i="1"/>
  <c r="F148" i="1"/>
  <c r="H148" i="1"/>
  <c r="K148" i="1"/>
  <c r="M148" i="1"/>
  <c r="C149" i="1"/>
  <c r="C156" i="1" s="1"/>
  <c r="F149" i="1"/>
  <c r="H149" i="1"/>
  <c r="F150" i="1"/>
  <c r="H150" i="1"/>
  <c r="K150" i="1"/>
  <c r="M150" i="1"/>
  <c r="C151" i="1"/>
  <c r="F151" i="1"/>
  <c r="M151" i="1" s="1"/>
  <c r="H151" i="1"/>
  <c r="F152" i="1"/>
  <c r="H152" i="1"/>
  <c r="K152" i="1"/>
  <c r="M152" i="1"/>
  <c r="C153" i="1"/>
  <c r="F153" i="1"/>
  <c r="M153" i="1" s="1"/>
  <c r="H153" i="1"/>
  <c r="F154" i="1"/>
  <c r="H154" i="1"/>
  <c r="K154" i="1"/>
  <c r="M154" i="1"/>
  <c r="F155" i="1"/>
  <c r="H155" i="1"/>
  <c r="H156" i="1" s="1"/>
  <c r="K156" i="1"/>
  <c r="F157" i="1"/>
  <c r="H157" i="1"/>
  <c r="K157" i="1"/>
  <c r="K165" i="1" s="1"/>
  <c r="C158" i="1"/>
  <c r="F158" i="1"/>
  <c r="M158" i="1" s="1"/>
  <c r="H158" i="1"/>
  <c r="F159" i="1"/>
  <c r="M159" i="1" s="1"/>
  <c r="H159" i="1"/>
  <c r="K159" i="1"/>
  <c r="C160" i="1"/>
  <c r="F160" i="1"/>
  <c r="M160" i="1" s="1"/>
  <c r="H160" i="1"/>
  <c r="F161" i="1"/>
  <c r="M161" i="1" s="1"/>
  <c r="H161" i="1"/>
  <c r="K161" i="1"/>
  <c r="C162" i="1"/>
  <c r="F162" i="1"/>
  <c r="M162" i="1" s="1"/>
  <c r="H162" i="1"/>
  <c r="F163" i="1"/>
  <c r="M163" i="1" s="1"/>
  <c r="H163" i="1"/>
  <c r="K163" i="1"/>
  <c r="F164" i="1"/>
  <c r="H164" i="1"/>
  <c r="M164" i="1"/>
  <c r="C165" i="1"/>
  <c r="H165" i="1"/>
  <c r="F166" i="1"/>
  <c r="H166" i="1"/>
  <c r="K166" i="1"/>
  <c r="M166" i="1"/>
  <c r="C167" i="1"/>
  <c r="F167" i="1"/>
  <c r="H167" i="1"/>
  <c r="H174" i="1" s="1"/>
  <c r="M167" i="1"/>
  <c r="F168" i="1"/>
  <c r="H168" i="1"/>
  <c r="K168" i="1"/>
  <c r="M168" i="1"/>
  <c r="C169" i="1"/>
  <c r="F169" i="1"/>
  <c r="H169" i="1"/>
  <c r="M169" i="1"/>
  <c r="F170" i="1"/>
  <c r="H170" i="1"/>
  <c r="K170" i="1"/>
  <c r="M170" i="1"/>
  <c r="C171" i="1"/>
  <c r="F171" i="1"/>
  <c r="H171" i="1"/>
  <c r="M171" i="1"/>
  <c r="F172" i="1"/>
  <c r="H172" i="1"/>
  <c r="K172" i="1"/>
  <c r="M172" i="1"/>
  <c r="F173" i="1"/>
  <c r="H173" i="1"/>
  <c r="M173" i="1" s="1"/>
  <c r="C174" i="1"/>
  <c r="K174" i="1"/>
  <c r="F175" i="1"/>
  <c r="H175" i="1"/>
  <c r="K175" i="1"/>
  <c r="M175" i="1"/>
  <c r="C176" i="1"/>
  <c r="C183" i="1" s="1"/>
  <c r="F176" i="1"/>
  <c r="M176" i="1" s="1"/>
  <c r="H176" i="1"/>
  <c r="F177" i="1"/>
  <c r="H177" i="1"/>
  <c r="K177" i="1"/>
  <c r="M177" i="1"/>
  <c r="C178" i="1"/>
  <c r="F178" i="1"/>
  <c r="M178" i="1" s="1"/>
  <c r="H178" i="1"/>
  <c r="F179" i="1"/>
  <c r="H179" i="1"/>
  <c r="K179" i="1"/>
  <c r="K183" i="1" s="1"/>
  <c r="M179" i="1"/>
  <c r="C180" i="1"/>
  <c r="F180" i="1"/>
  <c r="M180" i="1" s="1"/>
  <c r="H180" i="1"/>
  <c r="F181" i="1"/>
  <c r="H181" i="1"/>
  <c r="K181" i="1"/>
  <c r="M181" i="1"/>
  <c r="F182" i="1"/>
  <c r="H182" i="1"/>
  <c r="H183" i="1" s="1"/>
  <c r="F184" i="1"/>
  <c r="M184" i="1" s="1"/>
  <c r="H184" i="1"/>
  <c r="K184" i="1"/>
  <c r="C185" i="1"/>
  <c r="F185" i="1"/>
  <c r="H185" i="1"/>
  <c r="M185" i="1"/>
  <c r="F186" i="1"/>
  <c r="H186" i="1"/>
  <c r="H192" i="1" s="1"/>
  <c r="K186" i="1"/>
  <c r="C187" i="1"/>
  <c r="F187" i="1"/>
  <c r="H187" i="1"/>
  <c r="M187" i="1"/>
  <c r="F188" i="1"/>
  <c r="H188" i="1"/>
  <c r="K188" i="1"/>
  <c r="C189" i="1"/>
  <c r="F189" i="1"/>
  <c r="H189" i="1"/>
  <c r="M189" i="1"/>
  <c r="F190" i="1"/>
  <c r="H190" i="1"/>
  <c r="K190" i="1"/>
  <c r="F191" i="1"/>
  <c r="M191" i="1" s="1"/>
  <c r="H191" i="1"/>
  <c r="C192" i="1"/>
  <c r="F192" i="1"/>
  <c r="K192" i="1"/>
  <c r="F193" i="1"/>
  <c r="M193" i="1" s="1"/>
  <c r="H193" i="1"/>
  <c r="K193" i="1"/>
  <c r="C194" i="1"/>
  <c r="F194" i="1"/>
  <c r="M194" i="1" s="1"/>
  <c r="H194" i="1"/>
  <c r="H201" i="1" s="1"/>
  <c r="F195" i="1"/>
  <c r="M195" i="1" s="1"/>
  <c r="H195" i="1"/>
  <c r="K195" i="1"/>
  <c r="C196" i="1"/>
  <c r="F196" i="1"/>
  <c r="M196" i="1" s="1"/>
  <c r="H196" i="1"/>
  <c r="F197" i="1"/>
  <c r="M197" i="1" s="1"/>
  <c r="H197" i="1"/>
  <c r="K197" i="1"/>
  <c r="C198" i="1"/>
  <c r="F198" i="1"/>
  <c r="M198" i="1" s="1"/>
  <c r="H198" i="1"/>
  <c r="F199" i="1"/>
  <c r="M199" i="1" s="1"/>
  <c r="H199" i="1"/>
  <c r="K199" i="1"/>
  <c r="F200" i="1"/>
  <c r="M200" i="1" s="1"/>
  <c r="H200" i="1"/>
  <c r="K201" i="1"/>
  <c r="F202" i="1"/>
  <c r="H202" i="1"/>
  <c r="K202" i="1"/>
  <c r="C203" i="1"/>
  <c r="F203" i="1"/>
  <c r="H203" i="1"/>
  <c r="M203" i="1"/>
  <c r="F204" i="1"/>
  <c r="H204" i="1"/>
  <c r="M204" i="1" s="1"/>
  <c r="K204" i="1"/>
  <c r="C205" i="1"/>
  <c r="F205" i="1"/>
  <c r="H205" i="1"/>
  <c r="M205" i="1"/>
  <c r="F206" i="1"/>
  <c r="H206" i="1"/>
  <c r="M206" i="1" s="1"/>
  <c r="K206" i="1"/>
  <c r="C207" i="1"/>
  <c r="F207" i="1"/>
  <c r="H207" i="1"/>
  <c r="M207" i="1"/>
  <c r="F208" i="1"/>
  <c r="H208" i="1"/>
  <c r="M208" i="1" s="1"/>
  <c r="K208" i="1"/>
  <c r="F209" i="1"/>
  <c r="M209" i="1" s="1"/>
  <c r="H209" i="1"/>
  <c r="C210" i="1"/>
  <c r="F210" i="1"/>
  <c r="K210" i="1"/>
  <c r="F211" i="1"/>
  <c r="M211" i="1" s="1"/>
  <c r="H211" i="1"/>
  <c r="K211" i="1"/>
  <c r="C212" i="1"/>
  <c r="F212" i="1"/>
  <c r="H212" i="1"/>
  <c r="F213" i="1"/>
  <c r="M213" i="1" s="1"/>
  <c r="H213" i="1"/>
  <c r="K213" i="1"/>
  <c r="C214" i="1"/>
  <c r="F214" i="1"/>
  <c r="H214" i="1"/>
  <c r="M214" i="1" s="1"/>
  <c r="F215" i="1"/>
  <c r="M215" i="1" s="1"/>
  <c r="H215" i="1"/>
  <c r="K215" i="1"/>
  <c r="C216" i="1"/>
  <c r="F216" i="1"/>
  <c r="H216" i="1"/>
  <c r="M216" i="1" s="1"/>
  <c r="F217" i="1"/>
  <c r="M217" i="1" s="1"/>
  <c r="H217" i="1"/>
  <c r="K217" i="1"/>
  <c r="F218" i="1"/>
  <c r="H218" i="1"/>
  <c r="M218" i="1"/>
  <c r="C219" i="1"/>
  <c r="F219" i="1"/>
  <c r="K219" i="1"/>
  <c r="F220" i="1"/>
  <c r="H220" i="1"/>
  <c r="K220" i="1"/>
  <c r="M220" i="1"/>
  <c r="C221" i="1"/>
  <c r="C228" i="1" s="1"/>
  <c r="F221" i="1"/>
  <c r="H221" i="1"/>
  <c r="F222" i="1"/>
  <c r="H222" i="1"/>
  <c r="K222" i="1"/>
  <c r="M222" i="1"/>
  <c r="C223" i="1"/>
  <c r="F223" i="1"/>
  <c r="M223" i="1" s="1"/>
  <c r="H223" i="1"/>
  <c r="F224" i="1"/>
  <c r="H224" i="1"/>
  <c r="K224" i="1"/>
  <c r="M224" i="1"/>
  <c r="C225" i="1"/>
  <c r="F225" i="1"/>
  <c r="M225" i="1" s="1"/>
  <c r="H225" i="1"/>
  <c r="F226" i="1"/>
  <c r="H226" i="1"/>
  <c r="K226" i="1"/>
  <c r="M226" i="1"/>
  <c r="F227" i="1"/>
  <c r="H227" i="1"/>
  <c r="H228" i="1" s="1"/>
  <c r="K228" i="1"/>
  <c r="F229" i="1"/>
  <c r="H229" i="1"/>
  <c r="K229" i="1"/>
  <c r="K237" i="1" s="1"/>
  <c r="C230" i="1"/>
  <c r="F230" i="1"/>
  <c r="M230" i="1" s="1"/>
  <c r="H230" i="1"/>
  <c r="F231" i="1"/>
  <c r="M231" i="1" s="1"/>
  <c r="H231" i="1"/>
  <c r="K231" i="1"/>
  <c r="C232" i="1"/>
  <c r="F232" i="1"/>
  <c r="M232" i="1" s="1"/>
  <c r="H232" i="1"/>
  <c r="F233" i="1"/>
  <c r="M233" i="1" s="1"/>
  <c r="H233" i="1"/>
  <c r="K233" i="1"/>
  <c r="C234" i="1"/>
  <c r="F234" i="1"/>
  <c r="M234" i="1" s="1"/>
  <c r="H234" i="1"/>
  <c r="F235" i="1"/>
  <c r="M235" i="1" s="1"/>
  <c r="H235" i="1"/>
  <c r="K235" i="1"/>
  <c r="F236" i="1"/>
  <c r="H236" i="1"/>
  <c r="M236" i="1"/>
  <c r="C237" i="1"/>
  <c r="H237" i="1"/>
  <c r="F238" i="1"/>
  <c r="H238" i="1"/>
  <c r="K238" i="1"/>
  <c r="M238" i="1"/>
  <c r="C239" i="1"/>
  <c r="F239" i="1"/>
  <c r="H239" i="1"/>
  <c r="F240" i="1"/>
  <c r="H240" i="1"/>
  <c r="K240" i="1"/>
  <c r="M240" i="1"/>
  <c r="C241" i="1"/>
  <c r="F241" i="1"/>
  <c r="H241" i="1"/>
  <c r="M241" i="1" s="1"/>
  <c r="F242" i="1"/>
  <c r="H242" i="1"/>
  <c r="K242" i="1"/>
  <c r="M242" i="1"/>
  <c r="C243" i="1"/>
  <c r="F243" i="1"/>
  <c r="H243" i="1"/>
  <c r="M243" i="1" s="1"/>
  <c r="F244" i="1"/>
  <c r="H244" i="1"/>
  <c r="K244" i="1"/>
  <c r="M244" i="1"/>
  <c r="F245" i="1"/>
  <c r="H245" i="1"/>
  <c r="M245" i="1"/>
  <c r="C246" i="1"/>
  <c r="K246" i="1"/>
  <c r="F247" i="1"/>
  <c r="H247" i="1"/>
  <c r="K247" i="1"/>
  <c r="M247" i="1"/>
  <c r="C248" i="1"/>
  <c r="F248" i="1"/>
  <c r="M248" i="1" s="1"/>
  <c r="H248" i="1"/>
  <c r="F249" i="1"/>
  <c r="H249" i="1"/>
  <c r="K249" i="1"/>
  <c r="M249" i="1"/>
  <c r="C250" i="1"/>
  <c r="F250" i="1"/>
  <c r="M250" i="1" s="1"/>
  <c r="H250" i="1"/>
  <c r="F251" i="1"/>
  <c r="H251" i="1"/>
  <c r="K251" i="1"/>
  <c r="M251" i="1"/>
  <c r="C252" i="1"/>
  <c r="F252" i="1"/>
  <c r="M252" i="1" s="1"/>
  <c r="H252" i="1"/>
  <c r="F253" i="1"/>
  <c r="H253" i="1"/>
  <c r="K253" i="1"/>
  <c r="M253" i="1"/>
  <c r="F254" i="1"/>
  <c r="H254" i="1"/>
  <c r="H255" i="1" s="1"/>
  <c r="K255" i="1"/>
  <c r="F256" i="1"/>
  <c r="H256" i="1"/>
  <c r="H264" i="1" s="1"/>
  <c r="K256" i="1"/>
  <c r="C257" i="1"/>
  <c r="F257" i="1"/>
  <c r="H257" i="1"/>
  <c r="M257" i="1"/>
  <c r="F258" i="1"/>
  <c r="H258" i="1"/>
  <c r="K258" i="1"/>
  <c r="C259" i="1"/>
  <c r="F259" i="1"/>
  <c r="H259" i="1"/>
  <c r="M259" i="1"/>
  <c r="F260" i="1"/>
  <c r="H260" i="1"/>
  <c r="K260" i="1"/>
  <c r="C261" i="1"/>
  <c r="F261" i="1"/>
  <c r="H261" i="1"/>
  <c r="M261" i="1"/>
  <c r="F262" i="1"/>
  <c r="M262" i="1" s="1"/>
  <c r="H262" i="1"/>
  <c r="K262" i="1"/>
  <c r="F263" i="1"/>
  <c r="M263" i="1" s="1"/>
  <c r="H263" i="1"/>
  <c r="C264" i="1"/>
  <c r="K264" i="1"/>
  <c r="F265" i="1"/>
  <c r="M265" i="1" s="1"/>
  <c r="H265" i="1"/>
  <c r="K265" i="1"/>
  <c r="C266" i="1"/>
  <c r="F266" i="1"/>
  <c r="H266" i="1"/>
  <c r="F267" i="1"/>
  <c r="M267" i="1" s="1"/>
  <c r="H267" i="1"/>
  <c r="K267" i="1"/>
  <c r="C268" i="1"/>
  <c r="F268" i="1"/>
  <c r="H268" i="1"/>
  <c r="F269" i="1"/>
  <c r="M269" i="1" s="1"/>
  <c r="H269" i="1"/>
  <c r="K269" i="1"/>
  <c r="C270" i="1"/>
  <c r="F270" i="1"/>
  <c r="H270" i="1"/>
  <c r="F271" i="1"/>
  <c r="M271" i="1" s="1"/>
  <c r="H271" i="1"/>
  <c r="K271" i="1"/>
  <c r="F272" i="1"/>
  <c r="M272" i="1" s="1"/>
  <c r="H272" i="1"/>
  <c r="K273" i="1"/>
  <c r="F274" i="1"/>
  <c r="H274" i="1"/>
  <c r="K274" i="1"/>
  <c r="M274" i="1"/>
  <c r="C275" i="1"/>
  <c r="F275" i="1"/>
  <c r="H275" i="1"/>
  <c r="M275" i="1"/>
  <c r="F276" i="1"/>
  <c r="H276" i="1"/>
  <c r="K276" i="1"/>
  <c r="M276" i="1"/>
  <c r="C277" i="1"/>
  <c r="F277" i="1"/>
  <c r="H277" i="1"/>
  <c r="M277" i="1"/>
  <c r="F278" i="1"/>
  <c r="H278" i="1"/>
  <c r="K278" i="1"/>
  <c r="M278" i="1"/>
  <c r="C279" i="1"/>
  <c r="F279" i="1"/>
  <c r="H279" i="1"/>
  <c r="M279" i="1"/>
  <c r="F280" i="1"/>
  <c r="H280" i="1"/>
  <c r="K280" i="1"/>
  <c r="M280" i="1"/>
  <c r="F281" i="1"/>
  <c r="M281" i="1" s="1"/>
  <c r="H281" i="1"/>
  <c r="C282" i="1"/>
  <c r="F282" i="1"/>
  <c r="H282" i="1"/>
  <c r="F283" i="1"/>
  <c r="H283" i="1"/>
  <c r="K283" i="1"/>
  <c r="C284" i="1"/>
  <c r="F284" i="1"/>
  <c r="H284" i="1"/>
  <c r="H291" i="1" s="1"/>
  <c r="M284" i="1"/>
  <c r="F285" i="1"/>
  <c r="M285" i="1" s="1"/>
  <c r="H285" i="1"/>
  <c r="K285" i="1"/>
  <c r="C286" i="1"/>
  <c r="F286" i="1"/>
  <c r="H286" i="1"/>
  <c r="M286" i="1"/>
  <c r="F287" i="1"/>
  <c r="M287" i="1" s="1"/>
  <c r="H287" i="1"/>
  <c r="K287" i="1"/>
  <c r="C288" i="1"/>
  <c r="F288" i="1"/>
  <c r="H288" i="1"/>
  <c r="M288" i="1"/>
  <c r="F289" i="1"/>
  <c r="M289" i="1" s="1"/>
  <c r="H289" i="1"/>
  <c r="K289" i="1"/>
  <c r="F290" i="1"/>
  <c r="H290" i="1"/>
  <c r="M290" i="1"/>
  <c r="C291" i="1"/>
  <c r="K291" i="1"/>
  <c r="F292" i="1"/>
  <c r="H292" i="1"/>
  <c r="K292" i="1"/>
  <c r="M292" i="1"/>
  <c r="C293" i="1"/>
  <c r="F293" i="1"/>
  <c r="H293" i="1"/>
  <c r="F294" i="1"/>
  <c r="H294" i="1"/>
  <c r="K294" i="1"/>
  <c r="M294" i="1"/>
  <c r="C295" i="1"/>
  <c r="F295" i="1"/>
  <c r="M295" i="1" s="1"/>
  <c r="H295" i="1"/>
  <c r="F296" i="1"/>
  <c r="H296" i="1"/>
  <c r="K296" i="1"/>
  <c r="M296" i="1"/>
  <c r="C297" i="1"/>
  <c r="F297" i="1"/>
  <c r="M297" i="1" s="1"/>
  <c r="H297" i="1"/>
  <c r="F298" i="1"/>
  <c r="H298" i="1"/>
  <c r="K298" i="1"/>
  <c r="M298" i="1"/>
  <c r="F299" i="1"/>
  <c r="H299" i="1"/>
  <c r="H300" i="1" s="1"/>
  <c r="K300" i="1"/>
  <c r="F301" i="1"/>
  <c r="M301" i="1" s="1"/>
  <c r="H301" i="1"/>
  <c r="K301" i="1"/>
  <c r="C302" i="1"/>
  <c r="F302" i="1"/>
  <c r="M302" i="1" s="1"/>
  <c r="H302" i="1"/>
  <c r="F303" i="1"/>
  <c r="M303" i="1" s="1"/>
  <c r="H303" i="1"/>
  <c r="H309" i="1" s="1"/>
  <c r="K303" i="1"/>
  <c r="C304" i="1"/>
  <c r="F304" i="1"/>
  <c r="M304" i="1" s="1"/>
  <c r="H304" i="1"/>
  <c r="F305" i="1"/>
  <c r="M305" i="1" s="1"/>
  <c r="H305" i="1"/>
  <c r="K305" i="1"/>
  <c r="C306" i="1"/>
  <c r="F306" i="1"/>
  <c r="M306" i="1" s="1"/>
  <c r="H306" i="1"/>
  <c r="F307" i="1"/>
  <c r="M307" i="1" s="1"/>
  <c r="H307" i="1"/>
  <c r="K307" i="1"/>
  <c r="F308" i="1"/>
  <c r="H308" i="1"/>
  <c r="M308" i="1"/>
  <c r="C309" i="1"/>
  <c r="F310" i="1"/>
  <c r="H310" i="1"/>
  <c r="K310" i="1"/>
  <c r="M310" i="1"/>
  <c r="C311" i="1"/>
  <c r="F311" i="1"/>
  <c r="H311" i="1"/>
  <c r="M311" i="1" s="1"/>
  <c r="F312" i="1"/>
  <c r="H312" i="1"/>
  <c r="K312" i="1"/>
  <c r="M312" i="1"/>
  <c r="C313" i="1"/>
  <c r="F313" i="1"/>
  <c r="H313" i="1"/>
  <c r="M313" i="1" s="1"/>
  <c r="F314" i="1"/>
  <c r="H314" i="1"/>
  <c r="K314" i="1"/>
  <c r="M314" i="1"/>
  <c r="C315" i="1"/>
  <c r="F315" i="1"/>
  <c r="H315" i="1"/>
  <c r="M315" i="1" s="1"/>
  <c r="F316" i="1"/>
  <c r="H316" i="1"/>
  <c r="K316" i="1"/>
  <c r="M316" i="1"/>
  <c r="F317" i="1"/>
  <c r="H317" i="1"/>
  <c r="M317" i="1"/>
  <c r="C318" i="1"/>
  <c r="K318" i="1"/>
  <c r="F319" i="1"/>
  <c r="H319" i="1"/>
  <c r="K319" i="1"/>
  <c r="M319" i="1"/>
  <c r="C320" i="1"/>
  <c r="F320" i="1"/>
  <c r="M320" i="1" s="1"/>
  <c r="H320" i="1"/>
  <c r="F321" i="1"/>
  <c r="H321" i="1"/>
  <c r="K321" i="1"/>
  <c r="M321" i="1"/>
  <c r="C322" i="1"/>
  <c r="F322" i="1"/>
  <c r="M322" i="1" s="1"/>
  <c r="H322" i="1"/>
  <c r="F323" i="1"/>
  <c r="H323" i="1"/>
  <c r="K323" i="1"/>
  <c r="M323" i="1"/>
  <c r="C324" i="1"/>
  <c r="F324" i="1"/>
  <c r="M324" i="1" s="1"/>
  <c r="H324" i="1"/>
  <c r="F325" i="1"/>
  <c r="H325" i="1"/>
  <c r="K325" i="1"/>
  <c r="M325" i="1"/>
  <c r="F326" i="1"/>
  <c r="H326" i="1"/>
  <c r="H327" i="1" s="1"/>
  <c r="F328" i="1"/>
  <c r="H328" i="1"/>
  <c r="H336" i="1" s="1"/>
  <c r="K328" i="1"/>
  <c r="C329" i="1"/>
  <c r="F329" i="1"/>
  <c r="H329" i="1"/>
  <c r="M329" i="1"/>
  <c r="F330" i="1"/>
  <c r="M330" i="1" s="1"/>
  <c r="H330" i="1"/>
  <c r="K330" i="1"/>
  <c r="C331" i="1"/>
  <c r="F331" i="1"/>
  <c r="H331" i="1"/>
  <c r="M331" i="1"/>
  <c r="F332" i="1"/>
  <c r="H332" i="1"/>
  <c r="K332" i="1"/>
  <c r="C333" i="1"/>
  <c r="F333" i="1"/>
  <c r="H333" i="1"/>
  <c r="M333" i="1"/>
  <c r="F334" i="1"/>
  <c r="M334" i="1" s="1"/>
  <c r="H334" i="1"/>
  <c r="K334" i="1"/>
  <c r="F335" i="1"/>
  <c r="M335" i="1" s="1"/>
  <c r="H335" i="1"/>
  <c r="C336" i="1"/>
  <c r="K336" i="1"/>
  <c r="F337" i="1"/>
  <c r="H337" i="1"/>
  <c r="M337" i="1" s="1"/>
  <c r="K337" i="1"/>
  <c r="C338" i="1"/>
  <c r="F338" i="1"/>
  <c r="H338" i="1"/>
  <c r="H345" i="1" s="1"/>
  <c r="F339" i="1"/>
  <c r="M339" i="1" s="1"/>
  <c r="H339" i="1"/>
  <c r="K339" i="1"/>
  <c r="C340" i="1"/>
  <c r="F340" i="1"/>
  <c r="H340" i="1"/>
  <c r="F341" i="1"/>
  <c r="M341" i="1" s="1"/>
  <c r="H341" i="1"/>
  <c r="K341" i="1"/>
  <c r="C342" i="1"/>
  <c r="F342" i="1"/>
  <c r="M342" i="1" s="1"/>
  <c r="H342" i="1"/>
  <c r="F343" i="1"/>
  <c r="M343" i="1" s="1"/>
  <c r="H343" i="1"/>
  <c r="K343" i="1"/>
  <c r="F344" i="1"/>
  <c r="H344" i="1"/>
  <c r="M344" i="1"/>
  <c r="K345" i="1"/>
  <c r="F346" i="1"/>
  <c r="H346" i="1"/>
  <c r="K346" i="1"/>
  <c r="M346" i="1"/>
  <c r="C347" i="1"/>
  <c r="F347" i="1"/>
  <c r="H347" i="1"/>
  <c r="M347" i="1"/>
  <c r="F348" i="1"/>
  <c r="H348" i="1"/>
  <c r="K348" i="1"/>
  <c r="M348" i="1"/>
  <c r="C349" i="1"/>
  <c r="F349" i="1"/>
  <c r="H349" i="1"/>
  <c r="M349" i="1"/>
  <c r="F350" i="1"/>
  <c r="H350" i="1"/>
  <c r="K350" i="1"/>
  <c r="M350" i="1"/>
  <c r="C351" i="1"/>
  <c r="F351" i="1"/>
  <c r="H351" i="1"/>
  <c r="M351" i="1"/>
  <c r="F352" i="1"/>
  <c r="H352" i="1"/>
  <c r="K352" i="1"/>
  <c r="M352" i="1"/>
  <c r="F353" i="1"/>
  <c r="M353" i="1" s="1"/>
  <c r="H353" i="1"/>
  <c r="C354" i="1"/>
  <c r="H354" i="1"/>
  <c r="K354" i="1"/>
  <c r="F355" i="1"/>
  <c r="M355" i="1" s="1"/>
  <c r="H355" i="1"/>
  <c r="K355" i="1"/>
  <c r="C356" i="1"/>
  <c r="F356" i="1"/>
  <c r="H356" i="1"/>
  <c r="F357" i="1"/>
  <c r="M357" i="1" s="1"/>
  <c r="H357" i="1"/>
  <c r="K357" i="1"/>
  <c r="C358" i="1"/>
  <c r="F358" i="1"/>
  <c r="H358" i="1"/>
  <c r="M358" i="1"/>
  <c r="F359" i="1"/>
  <c r="M359" i="1" s="1"/>
  <c r="H359" i="1"/>
  <c r="K359" i="1"/>
  <c r="C360" i="1"/>
  <c r="F360" i="1"/>
  <c r="H360" i="1"/>
  <c r="M360" i="1" s="1"/>
  <c r="F361" i="1"/>
  <c r="M361" i="1" s="1"/>
  <c r="H361" i="1"/>
  <c r="K361" i="1"/>
  <c r="F362" i="1"/>
  <c r="H362" i="1"/>
  <c r="M362" i="1"/>
  <c r="C363" i="1"/>
  <c r="K363" i="1"/>
  <c r="F364" i="1"/>
  <c r="H364" i="1"/>
  <c r="K364" i="1"/>
  <c r="M364" i="1"/>
  <c r="C365" i="1"/>
  <c r="F365" i="1"/>
  <c r="H365" i="1"/>
  <c r="F366" i="1"/>
  <c r="H366" i="1"/>
  <c r="K366" i="1"/>
  <c r="M366" i="1"/>
  <c r="C367" i="1"/>
  <c r="F367" i="1"/>
  <c r="M367" i="1" s="1"/>
  <c r="H367" i="1"/>
  <c r="F368" i="1"/>
  <c r="H368" i="1"/>
  <c r="K368" i="1"/>
  <c r="M368" i="1"/>
  <c r="C369" i="1"/>
  <c r="F369" i="1"/>
  <c r="M369" i="1" s="1"/>
  <c r="H369" i="1"/>
  <c r="F370" i="1"/>
  <c r="H370" i="1"/>
  <c r="K370" i="1"/>
  <c r="M370" i="1"/>
  <c r="F371" i="1"/>
  <c r="M371" i="1" s="1"/>
  <c r="H371" i="1"/>
  <c r="H372" i="1" s="1"/>
  <c r="K372" i="1"/>
  <c r="F373" i="1"/>
  <c r="H373" i="1"/>
  <c r="K373" i="1"/>
  <c r="C374" i="1"/>
  <c r="F374" i="1"/>
  <c r="M374" i="1" s="1"/>
  <c r="H374" i="1"/>
  <c r="F375" i="1"/>
  <c r="H375" i="1"/>
  <c r="K375" i="1"/>
  <c r="K381" i="1" s="1"/>
  <c r="C376" i="1"/>
  <c r="F376" i="1"/>
  <c r="M376" i="1" s="1"/>
  <c r="H376" i="1"/>
  <c r="F377" i="1"/>
  <c r="M377" i="1" s="1"/>
  <c r="H377" i="1"/>
  <c r="K377" i="1"/>
  <c r="C378" i="1"/>
  <c r="F378" i="1"/>
  <c r="M378" i="1" s="1"/>
  <c r="H378" i="1"/>
  <c r="F379" i="1"/>
  <c r="H379" i="1"/>
  <c r="H381" i="1" s="1"/>
  <c r="K379" i="1"/>
  <c r="F380" i="1"/>
  <c r="H380" i="1"/>
  <c r="M380" i="1" s="1"/>
  <c r="C381" i="1"/>
  <c r="F381" i="1"/>
  <c r="F382" i="1"/>
  <c r="H382" i="1"/>
  <c r="K382" i="1"/>
  <c r="M382" i="1"/>
  <c r="C383" i="1"/>
  <c r="F383" i="1"/>
  <c r="M383" i="1" s="1"/>
  <c r="H383" i="1"/>
  <c r="F384" i="1"/>
  <c r="H384" i="1"/>
  <c r="K384" i="1"/>
  <c r="M384" i="1"/>
  <c r="C385" i="1"/>
  <c r="F385" i="1"/>
  <c r="H385" i="1"/>
  <c r="F386" i="1"/>
  <c r="H386" i="1"/>
  <c r="K386" i="1"/>
  <c r="M386" i="1"/>
  <c r="C387" i="1"/>
  <c r="F387" i="1"/>
  <c r="M387" i="1" s="1"/>
  <c r="H387" i="1"/>
  <c r="F388" i="1"/>
  <c r="M388" i="1" s="1"/>
  <c r="H388" i="1"/>
  <c r="K388" i="1"/>
  <c r="F389" i="1"/>
  <c r="H389" i="1"/>
  <c r="M389" i="1"/>
  <c r="C390" i="1"/>
  <c r="K390" i="1"/>
  <c r="F391" i="1"/>
  <c r="H391" i="1"/>
  <c r="K391" i="1"/>
  <c r="M391" i="1"/>
  <c r="C392" i="1"/>
  <c r="C399" i="1" s="1"/>
  <c r="F392" i="1"/>
  <c r="M392" i="1" s="1"/>
  <c r="H392" i="1"/>
  <c r="F393" i="1"/>
  <c r="H393" i="1"/>
  <c r="K393" i="1"/>
  <c r="M393" i="1"/>
  <c r="C394" i="1"/>
  <c r="F394" i="1"/>
  <c r="M394" i="1" s="1"/>
  <c r="H394" i="1"/>
  <c r="F395" i="1"/>
  <c r="H395" i="1"/>
  <c r="K395" i="1"/>
  <c r="M395" i="1"/>
  <c r="C396" i="1"/>
  <c r="F396" i="1"/>
  <c r="M396" i="1" s="1"/>
  <c r="H396" i="1"/>
  <c r="F397" i="1"/>
  <c r="H397" i="1"/>
  <c r="K397" i="1"/>
  <c r="M397" i="1"/>
  <c r="F398" i="1"/>
  <c r="H398" i="1"/>
  <c r="H399" i="1" s="1"/>
  <c r="F400" i="1"/>
  <c r="F408" i="1" s="1"/>
  <c r="H400" i="1"/>
  <c r="K400" i="1"/>
  <c r="C401" i="1"/>
  <c r="F401" i="1"/>
  <c r="H401" i="1"/>
  <c r="M401" i="1"/>
  <c r="F402" i="1"/>
  <c r="H402" i="1"/>
  <c r="K402" i="1"/>
  <c r="C403" i="1"/>
  <c r="F403" i="1"/>
  <c r="H403" i="1"/>
  <c r="M403" i="1"/>
  <c r="F404" i="1"/>
  <c r="M404" i="1" s="1"/>
  <c r="H404" i="1"/>
  <c r="K404" i="1"/>
  <c r="C405" i="1"/>
  <c r="F405" i="1"/>
  <c r="H405" i="1"/>
  <c r="M405" i="1"/>
  <c r="F406" i="1"/>
  <c r="M406" i="1" s="1"/>
  <c r="H406" i="1"/>
  <c r="K406" i="1"/>
  <c r="F407" i="1"/>
  <c r="M407" i="1" s="1"/>
  <c r="H407" i="1"/>
  <c r="C408" i="1"/>
  <c r="H408" i="1"/>
  <c r="K408" i="1"/>
  <c r="F409" i="1"/>
  <c r="M409" i="1" s="1"/>
  <c r="H409" i="1"/>
  <c r="K409" i="1"/>
  <c r="C410" i="1"/>
  <c r="C417" i="1" s="1"/>
  <c r="F410" i="1"/>
  <c r="H410" i="1"/>
  <c r="F411" i="1"/>
  <c r="M411" i="1" s="1"/>
  <c r="H411" i="1"/>
  <c r="K411" i="1"/>
  <c r="C412" i="1"/>
  <c r="F412" i="1"/>
  <c r="H412" i="1"/>
  <c r="F413" i="1"/>
  <c r="M413" i="1" s="1"/>
  <c r="H413" i="1"/>
  <c r="K413" i="1"/>
  <c r="C414" i="1"/>
  <c r="F414" i="1"/>
  <c r="M414" i="1" s="1"/>
  <c r="H414" i="1"/>
  <c r="F415" i="1"/>
  <c r="M415" i="1" s="1"/>
  <c r="H415" i="1"/>
  <c r="K415" i="1"/>
  <c r="F416" i="1"/>
  <c r="H416" i="1"/>
  <c r="M416" i="1" s="1"/>
  <c r="K417" i="1"/>
  <c r="F418" i="1"/>
  <c r="H418" i="1"/>
  <c r="H426" i="1" s="1"/>
  <c r="K418" i="1"/>
  <c r="K426" i="1" s="1"/>
  <c r="M418" i="1"/>
  <c r="C419" i="1"/>
  <c r="F419" i="1"/>
  <c r="H419" i="1"/>
  <c r="M419" i="1"/>
  <c r="F420" i="1"/>
  <c r="H420" i="1"/>
  <c r="K420" i="1"/>
  <c r="M420" i="1"/>
  <c r="C421" i="1"/>
  <c r="F421" i="1"/>
  <c r="H421" i="1"/>
  <c r="M421" i="1"/>
  <c r="F422" i="1"/>
  <c r="H422" i="1"/>
  <c r="K422" i="1"/>
  <c r="M422" i="1"/>
  <c r="C423" i="1"/>
  <c r="F423" i="1"/>
  <c r="F426" i="1" s="1"/>
  <c r="H423" i="1"/>
  <c r="M423" i="1"/>
  <c r="F424" i="1"/>
  <c r="H424" i="1"/>
  <c r="K424" i="1"/>
  <c r="M424" i="1"/>
  <c r="F425" i="1"/>
  <c r="M425" i="1" s="1"/>
  <c r="H425" i="1"/>
  <c r="C426" i="1"/>
  <c r="F427" i="1"/>
  <c r="M427" i="1" s="1"/>
  <c r="H427" i="1"/>
  <c r="K427" i="1"/>
  <c r="C428" i="1"/>
  <c r="F428" i="1"/>
  <c r="H428" i="1"/>
  <c r="M428" i="1"/>
  <c r="F429" i="1"/>
  <c r="M429" i="1" s="1"/>
  <c r="H429" i="1"/>
  <c r="K429" i="1"/>
  <c r="C430" i="1"/>
  <c r="F430" i="1"/>
  <c r="H430" i="1"/>
  <c r="M430" i="1" s="1"/>
  <c r="F431" i="1"/>
  <c r="M431" i="1" s="1"/>
  <c r="H431" i="1"/>
  <c r="K431" i="1"/>
  <c r="C432" i="1"/>
  <c r="F432" i="1"/>
  <c r="H432" i="1"/>
  <c r="M432" i="1"/>
  <c r="F433" i="1"/>
  <c r="M433" i="1" s="1"/>
  <c r="H433" i="1"/>
  <c r="K433" i="1"/>
  <c r="F434" i="1"/>
  <c r="H434" i="1"/>
  <c r="M434" i="1"/>
  <c r="C435" i="1"/>
  <c r="F435" i="1"/>
  <c r="K435" i="1"/>
  <c r="F436" i="1"/>
  <c r="H436" i="1"/>
  <c r="K436" i="1"/>
  <c r="M436" i="1"/>
  <c r="C437" i="1"/>
  <c r="C444" i="1" s="1"/>
  <c r="F437" i="1"/>
  <c r="H437" i="1"/>
  <c r="F438" i="1"/>
  <c r="H438" i="1"/>
  <c r="K438" i="1"/>
  <c r="M438" i="1"/>
  <c r="C439" i="1"/>
  <c r="F439" i="1"/>
  <c r="M439" i="1" s="1"/>
  <c r="H439" i="1"/>
  <c r="F440" i="1"/>
  <c r="H440" i="1"/>
  <c r="K440" i="1"/>
  <c r="M440" i="1"/>
  <c r="C441" i="1"/>
  <c r="F441" i="1"/>
  <c r="M441" i="1" s="1"/>
  <c r="H441" i="1"/>
  <c r="F442" i="1"/>
  <c r="H442" i="1"/>
  <c r="K442" i="1"/>
  <c r="M442" i="1"/>
  <c r="F443" i="1"/>
  <c r="H443" i="1"/>
  <c r="H444" i="1" s="1"/>
  <c r="K444" i="1"/>
  <c r="F445" i="1"/>
  <c r="M445" i="1" s="1"/>
  <c r="H445" i="1"/>
  <c r="K445" i="1"/>
  <c r="C446" i="1"/>
  <c r="F446" i="1"/>
  <c r="M446" i="1" s="1"/>
  <c r="H446" i="1"/>
  <c r="F447" i="1"/>
  <c r="M447" i="1" s="1"/>
  <c r="H447" i="1"/>
  <c r="H453" i="1" s="1"/>
  <c r="K447" i="1"/>
  <c r="K453" i="1" s="1"/>
  <c r="C448" i="1"/>
  <c r="F448" i="1"/>
  <c r="M448" i="1" s="1"/>
  <c r="H448" i="1"/>
  <c r="F449" i="1"/>
  <c r="M449" i="1" s="1"/>
  <c r="H449" i="1"/>
  <c r="K449" i="1"/>
  <c r="C450" i="1"/>
  <c r="F450" i="1"/>
  <c r="M450" i="1" s="1"/>
  <c r="H450" i="1"/>
  <c r="F451" i="1"/>
  <c r="M451" i="1" s="1"/>
  <c r="H451" i="1"/>
  <c r="K451" i="1"/>
  <c r="F452" i="1"/>
  <c r="H452" i="1"/>
  <c r="M452" i="1" s="1"/>
  <c r="C453" i="1"/>
  <c r="F453" i="1"/>
  <c r="F454" i="1"/>
  <c r="H454" i="1"/>
  <c r="K454" i="1"/>
  <c r="M454" i="1"/>
  <c r="C455" i="1"/>
  <c r="F455" i="1"/>
  <c r="H455" i="1"/>
  <c r="M455" i="1"/>
  <c r="F456" i="1"/>
  <c r="H456" i="1"/>
  <c r="K456" i="1"/>
  <c r="M456" i="1"/>
  <c r="C457" i="1"/>
  <c r="F457" i="1"/>
  <c r="M457" i="1" s="1"/>
  <c r="H457" i="1"/>
  <c r="F458" i="1"/>
  <c r="H458" i="1"/>
  <c r="K458" i="1"/>
  <c r="M458" i="1"/>
  <c r="C459" i="1"/>
  <c r="F459" i="1"/>
  <c r="M459" i="1" s="1"/>
  <c r="H459" i="1"/>
  <c r="F460" i="1"/>
  <c r="M460" i="1" s="1"/>
  <c r="H460" i="1"/>
  <c r="K460" i="1"/>
  <c r="F461" i="1"/>
  <c r="H461" i="1"/>
  <c r="M461" i="1"/>
  <c r="C462" i="1"/>
  <c r="K462" i="1"/>
  <c r="F463" i="1"/>
  <c r="H463" i="1"/>
  <c r="K463" i="1"/>
  <c r="M463" i="1"/>
  <c r="C464" i="1"/>
  <c r="F464" i="1"/>
  <c r="H464" i="1"/>
  <c r="M464" i="1"/>
  <c r="F465" i="1"/>
  <c r="H465" i="1"/>
  <c r="K465" i="1"/>
  <c r="M465" i="1"/>
  <c r="C466" i="1"/>
  <c r="F466" i="1"/>
  <c r="M466" i="1" s="1"/>
  <c r="H466" i="1"/>
  <c r="F467" i="1"/>
  <c r="H467" i="1"/>
  <c r="K467" i="1"/>
  <c r="M467" i="1"/>
  <c r="C468" i="1"/>
  <c r="F468" i="1"/>
  <c r="M468" i="1" s="1"/>
  <c r="H468" i="1"/>
  <c r="F469" i="1"/>
  <c r="H469" i="1"/>
  <c r="K469" i="1"/>
  <c r="M469" i="1"/>
  <c r="F470" i="1"/>
  <c r="H470" i="1"/>
  <c r="H471" i="1" s="1"/>
  <c r="K471" i="1"/>
  <c r="F472" i="1"/>
  <c r="H472" i="1"/>
  <c r="K472" i="1"/>
  <c r="C473" i="1"/>
  <c r="F473" i="1"/>
  <c r="H473" i="1"/>
  <c r="M473" i="1"/>
  <c r="F474" i="1"/>
  <c r="H474" i="1"/>
  <c r="H480" i="1" s="1"/>
  <c r="K474" i="1"/>
  <c r="C475" i="1"/>
  <c r="F475" i="1"/>
  <c r="H475" i="1"/>
  <c r="M475" i="1"/>
  <c r="F476" i="1"/>
  <c r="H476" i="1"/>
  <c r="K476" i="1"/>
  <c r="C477" i="1"/>
  <c r="F477" i="1"/>
  <c r="H477" i="1"/>
  <c r="M477" i="1"/>
  <c r="F478" i="1"/>
  <c r="H478" i="1"/>
  <c r="K478" i="1"/>
  <c r="F479" i="1"/>
  <c r="M479" i="1" s="1"/>
  <c r="H479" i="1"/>
  <c r="C480" i="1"/>
  <c r="K480" i="1"/>
  <c r="F481" i="1"/>
  <c r="M481" i="1" s="1"/>
  <c r="H481" i="1"/>
  <c r="K481" i="1"/>
  <c r="C482" i="1"/>
  <c r="F482" i="1"/>
  <c r="H482" i="1"/>
  <c r="F483" i="1"/>
  <c r="M483" i="1" s="1"/>
  <c r="H483" i="1"/>
  <c r="K483" i="1"/>
  <c r="C484" i="1"/>
  <c r="F484" i="1"/>
  <c r="M484" i="1" s="1"/>
  <c r="H484" i="1"/>
  <c r="F485" i="1"/>
  <c r="M485" i="1" s="1"/>
  <c r="H485" i="1"/>
  <c r="K485" i="1"/>
  <c r="C486" i="1"/>
  <c r="F486" i="1"/>
  <c r="M486" i="1" s="1"/>
  <c r="H486" i="1"/>
  <c r="F487" i="1"/>
  <c r="M487" i="1" s="1"/>
  <c r="H487" i="1"/>
  <c r="K487" i="1"/>
  <c r="F488" i="1"/>
  <c r="M488" i="1" s="1"/>
  <c r="H488" i="1"/>
  <c r="K489" i="1"/>
  <c r="F490" i="1"/>
  <c r="H490" i="1"/>
  <c r="K490" i="1"/>
  <c r="M490" i="1"/>
  <c r="C491" i="1"/>
  <c r="F491" i="1"/>
  <c r="H491" i="1"/>
  <c r="M491" i="1"/>
  <c r="F492" i="1"/>
  <c r="H492" i="1"/>
  <c r="K492" i="1"/>
  <c r="M492" i="1"/>
  <c r="C493" i="1"/>
  <c r="F493" i="1"/>
  <c r="H493" i="1"/>
  <c r="M493" i="1"/>
  <c r="F494" i="1"/>
  <c r="H494" i="1"/>
  <c r="K494" i="1"/>
  <c r="M494" i="1"/>
  <c r="C495" i="1"/>
  <c r="F495" i="1"/>
  <c r="H495" i="1"/>
  <c r="M495" i="1"/>
  <c r="F496" i="1"/>
  <c r="H496" i="1"/>
  <c r="K496" i="1"/>
  <c r="M496" i="1"/>
  <c r="F497" i="1"/>
  <c r="M497" i="1" s="1"/>
  <c r="H497" i="1"/>
  <c r="C498" i="1"/>
  <c r="K498" i="1"/>
  <c r="F499" i="1"/>
  <c r="H499" i="1"/>
  <c r="K499" i="1"/>
  <c r="C500" i="1"/>
  <c r="F500" i="1"/>
  <c r="H500" i="1"/>
  <c r="M500" i="1"/>
  <c r="F501" i="1"/>
  <c r="M501" i="1" s="1"/>
  <c r="H501" i="1"/>
  <c r="K501" i="1"/>
  <c r="C502" i="1"/>
  <c r="F502" i="1"/>
  <c r="H502" i="1"/>
  <c r="M502" i="1" s="1"/>
  <c r="F503" i="1"/>
  <c r="M503" i="1" s="1"/>
  <c r="H503" i="1"/>
  <c r="K503" i="1"/>
  <c r="C504" i="1"/>
  <c r="F504" i="1"/>
  <c r="H504" i="1"/>
  <c r="M504" i="1" s="1"/>
  <c r="F505" i="1"/>
  <c r="M505" i="1" s="1"/>
  <c r="H505" i="1"/>
  <c r="K505" i="1"/>
  <c r="F506" i="1"/>
  <c r="H506" i="1"/>
  <c r="M506" i="1"/>
  <c r="C507" i="1"/>
  <c r="K507" i="1"/>
  <c r="F508" i="1"/>
  <c r="H508" i="1"/>
  <c r="K508" i="1"/>
  <c r="M508" i="1"/>
  <c r="C509" i="1"/>
  <c r="F509" i="1"/>
  <c r="H509" i="1"/>
  <c r="F510" i="1"/>
  <c r="H510" i="1"/>
  <c r="K510" i="1"/>
  <c r="M510" i="1"/>
  <c r="C511" i="1"/>
  <c r="F511" i="1"/>
  <c r="M511" i="1" s="1"/>
  <c r="H511" i="1"/>
  <c r="F512" i="1"/>
  <c r="H512" i="1"/>
  <c r="K512" i="1"/>
  <c r="M512" i="1"/>
  <c r="C513" i="1"/>
  <c r="F513" i="1"/>
  <c r="M513" i="1" s="1"/>
  <c r="H513" i="1"/>
  <c r="F514" i="1"/>
  <c r="H514" i="1"/>
  <c r="K514" i="1"/>
  <c r="M514" i="1"/>
  <c r="F515" i="1"/>
  <c r="H515" i="1"/>
  <c r="H516" i="1" s="1"/>
  <c r="K516" i="1"/>
  <c r="F517" i="1"/>
  <c r="M517" i="1" s="1"/>
  <c r="H517" i="1"/>
  <c r="K517" i="1"/>
  <c r="C518" i="1"/>
  <c r="F518" i="1"/>
  <c r="M518" i="1" s="1"/>
  <c r="H518" i="1"/>
  <c r="F519" i="1"/>
  <c r="M519" i="1" s="1"/>
  <c r="H519" i="1"/>
  <c r="K519" i="1"/>
  <c r="C520" i="1"/>
  <c r="F520" i="1"/>
  <c r="M520" i="1" s="1"/>
  <c r="H520" i="1"/>
  <c r="F521" i="1"/>
  <c r="M521" i="1" s="1"/>
  <c r="H521" i="1"/>
  <c r="H525" i="1" s="1"/>
  <c r="K521" i="1"/>
  <c r="C522" i="1"/>
  <c r="F522" i="1"/>
  <c r="M522" i="1" s="1"/>
  <c r="H522" i="1"/>
  <c r="F523" i="1"/>
  <c r="M523" i="1" s="1"/>
  <c r="H523" i="1"/>
  <c r="K523" i="1"/>
  <c r="F524" i="1"/>
  <c r="H524" i="1"/>
  <c r="M524" i="1" s="1"/>
  <c r="C525" i="1"/>
  <c r="F526" i="1"/>
  <c r="H526" i="1"/>
  <c r="K526" i="1"/>
  <c r="M526" i="1"/>
  <c r="C527" i="1"/>
  <c r="F527" i="1"/>
  <c r="H527" i="1"/>
  <c r="F528" i="1"/>
  <c r="M528" i="1" s="1"/>
  <c r="H528" i="1"/>
  <c r="K528" i="1"/>
  <c r="C529" i="1"/>
  <c r="F529" i="1"/>
  <c r="H529" i="1"/>
  <c r="M529" i="1" s="1"/>
  <c r="F530" i="1"/>
  <c r="M530" i="1" s="1"/>
  <c r="H530" i="1"/>
  <c r="K530" i="1"/>
  <c r="C531" i="1"/>
  <c r="F531" i="1"/>
  <c r="H531" i="1"/>
  <c r="M531" i="1"/>
  <c r="F532" i="1"/>
  <c r="M532" i="1" s="1"/>
  <c r="H532" i="1"/>
  <c r="K532" i="1"/>
  <c r="F533" i="1"/>
  <c r="H533" i="1"/>
  <c r="M533" i="1"/>
  <c r="C534" i="1"/>
  <c r="K534" i="1"/>
  <c r="F535" i="1"/>
  <c r="H535" i="1"/>
  <c r="K535" i="1"/>
  <c r="M535" i="1"/>
  <c r="C536" i="1"/>
  <c r="F536" i="1"/>
  <c r="M536" i="1" s="1"/>
  <c r="H536" i="1"/>
  <c r="F537" i="1"/>
  <c r="H537" i="1"/>
  <c r="K537" i="1"/>
  <c r="M537" i="1"/>
  <c r="C538" i="1"/>
  <c r="F538" i="1"/>
  <c r="M538" i="1" s="1"/>
  <c r="H538" i="1"/>
  <c r="F539" i="1"/>
  <c r="H539" i="1"/>
  <c r="K539" i="1"/>
  <c r="M539" i="1"/>
  <c r="C540" i="1"/>
  <c r="F540" i="1"/>
  <c r="M540" i="1" s="1"/>
  <c r="H540" i="1"/>
  <c r="F541" i="1"/>
  <c r="H541" i="1"/>
  <c r="K541" i="1"/>
  <c r="K543" i="1" s="1"/>
  <c r="M541" i="1"/>
  <c r="F542" i="1"/>
  <c r="H542" i="1"/>
  <c r="H543" i="1" s="1"/>
  <c r="F544" i="1"/>
  <c r="H544" i="1"/>
  <c r="H552" i="1" s="1"/>
  <c r="K544" i="1"/>
  <c r="C545" i="1"/>
  <c r="F545" i="1"/>
  <c r="H545" i="1"/>
  <c r="M545" i="1"/>
  <c r="F546" i="1"/>
  <c r="M546" i="1" s="1"/>
  <c r="H546" i="1"/>
  <c r="K546" i="1"/>
  <c r="C547" i="1"/>
  <c r="F547" i="1"/>
  <c r="H547" i="1"/>
  <c r="M547" i="1"/>
  <c r="F548" i="1"/>
  <c r="H548" i="1"/>
  <c r="K548" i="1"/>
  <c r="C549" i="1"/>
  <c r="F549" i="1"/>
  <c r="H549" i="1"/>
  <c r="M549" i="1"/>
  <c r="F550" i="1"/>
  <c r="M550" i="1" s="1"/>
  <c r="H550" i="1"/>
  <c r="K550" i="1"/>
  <c r="F551" i="1"/>
  <c r="M551" i="1" s="1"/>
  <c r="H551" i="1"/>
  <c r="C552" i="1"/>
  <c r="F552" i="1"/>
  <c r="K552" i="1"/>
  <c r="F553" i="1"/>
  <c r="H553" i="1"/>
  <c r="M553" i="1" s="1"/>
  <c r="K553" i="1"/>
  <c r="C554" i="1"/>
  <c r="C561" i="1" s="1"/>
  <c r="F554" i="1"/>
  <c r="H554" i="1"/>
  <c r="H561" i="1" s="1"/>
  <c r="F555" i="1"/>
  <c r="H555" i="1"/>
  <c r="M555" i="1" s="1"/>
  <c r="K555" i="1"/>
  <c r="C556" i="1"/>
  <c r="F556" i="1"/>
  <c r="H556" i="1"/>
  <c r="F557" i="1"/>
  <c r="M557" i="1" s="1"/>
  <c r="H557" i="1"/>
  <c r="K557" i="1"/>
  <c r="C558" i="1"/>
  <c r="F558" i="1"/>
  <c r="H558" i="1"/>
  <c r="F559" i="1"/>
  <c r="M559" i="1" s="1"/>
  <c r="H559" i="1"/>
  <c r="K559" i="1"/>
  <c r="F560" i="1"/>
  <c r="M560" i="1" s="1"/>
  <c r="H560" i="1"/>
  <c r="K561" i="1"/>
  <c r="F562" i="1"/>
  <c r="H562" i="1"/>
  <c r="H570" i="1" s="1"/>
  <c r="K562" i="1"/>
  <c r="C563" i="1"/>
  <c r="F563" i="1"/>
  <c r="H563" i="1"/>
  <c r="M563" i="1"/>
  <c r="F564" i="1"/>
  <c r="H564" i="1"/>
  <c r="M564" i="1" s="1"/>
  <c r="K564" i="1"/>
  <c r="C565" i="1"/>
  <c r="F565" i="1"/>
  <c r="H565" i="1"/>
  <c r="M565" i="1"/>
  <c r="F566" i="1"/>
  <c r="H566" i="1"/>
  <c r="M566" i="1" s="1"/>
  <c r="K566" i="1"/>
  <c r="C567" i="1"/>
  <c r="F567" i="1"/>
  <c r="H567" i="1"/>
  <c r="M567" i="1"/>
  <c r="F568" i="1"/>
  <c r="H568" i="1"/>
  <c r="M568" i="1" s="1"/>
  <c r="K568" i="1"/>
  <c r="F569" i="1"/>
  <c r="M569" i="1" s="1"/>
  <c r="H569" i="1"/>
  <c r="C570" i="1"/>
  <c r="F571" i="1"/>
  <c r="M571" i="1" s="1"/>
  <c r="H571" i="1"/>
  <c r="K571" i="1"/>
  <c r="C572" i="1"/>
  <c r="C579" i="1" s="1"/>
  <c r="F572" i="1"/>
  <c r="H572" i="1"/>
  <c r="M572" i="1" s="1"/>
  <c r="F573" i="1"/>
  <c r="M573" i="1" s="1"/>
  <c r="H573" i="1"/>
  <c r="K573" i="1"/>
  <c r="C574" i="1"/>
  <c r="F574" i="1"/>
  <c r="H574" i="1"/>
  <c r="M574" i="1"/>
  <c r="F575" i="1"/>
  <c r="H575" i="1"/>
  <c r="K575" i="1"/>
  <c r="M575" i="1"/>
  <c r="C576" i="1"/>
  <c r="F576" i="1"/>
  <c r="H576" i="1"/>
  <c r="M576" i="1"/>
  <c r="F577" i="1"/>
  <c r="H577" i="1"/>
  <c r="K577" i="1"/>
  <c r="M577" i="1"/>
  <c r="F578" i="1"/>
  <c r="H578" i="1"/>
  <c r="M578" i="1"/>
  <c r="H579" i="1"/>
  <c r="K579" i="1"/>
  <c r="F580" i="1"/>
  <c r="H580" i="1"/>
  <c r="K580" i="1"/>
  <c r="C581" i="1"/>
  <c r="F581" i="1"/>
  <c r="H581" i="1"/>
  <c r="F582" i="1"/>
  <c r="H582" i="1"/>
  <c r="M582" i="1" s="1"/>
  <c r="K582" i="1"/>
  <c r="C583" i="1"/>
  <c r="F583" i="1"/>
  <c r="H583" i="1"/>
  <c r="M583" i="1"/>
  <c r="F584" i="1"/>
  <c r="H584" i="1"/>
  <c r="M584" i="1" s="1"/>
  <c r="K584" i="1"/>
  <c r="C585" i="1"/>
  <c r="F585" i="1"/>
  <c r="H585" i="1"/>
  <c r="M585" i="1"/>
  <c r="F586" i="1"/>
  <c r="H586" i="1"/>
  <c r="M586" i="1" s="1"/>
  <c r="K586" i="1"/>
  <c r="F587" i="1"/>
  <c r="M587" i="1" s="1"/>
  <c r="H587" i="1"/>
  <c r="C588" i="1"/>
  <c r="K588" i="1"/>
  <c r="F589" i="1"/>
  <c r="M589" i="1" s="1"/>
  <c r="H589" i="1"/>
  <c r="K589" i="1"/>
  <c r="C590" i="1"/>
  <c r="C597" i="1" s="1"/>
  <c r="F590" i="1"/>
  <c r="M590" i="1" s="1"/>
  <c r="H590" i="1"/>
  <c r="F591" i="1"/>
  <c r="M591" i="1" s="1"/>
  <c r="H591" i="1"/>
  <c r="K591" i="1"/>
  <c r="C592" i="1"/>
  <c r="F592" i="1"/>
  <c r="M592" i="1" s="1"/>
  <c r="H592" i="1"/>
  <c r="F593" i="1"/>
  <c r="M593" i="1" s="1"/>
  <c r="H593" i="1"/>
  <c r="K593" i="1"/>
  <c r="C594" i="1"/>
  <c r="F594" i="1"/>
  <c r="H594" i="1"/>
  <c r="F595" i="1"/>
  <c r="M595" i="1" s="1"/>
  <c r="H595" i="1"/>
  <c r="K595" i="1"/>
  <c r="F596" i="1"/>
  <c r="H596" i="1"/>
  <c r="M596" i="1"/>
  <c r="F597" i="1"/>
  <c r="K597" i="1"/>
  <c r="F598" i="1"/>
  <c r="H598" i="1"/>
  <c r="K598" i="1"/>
  <c r="M598" i="1"/>
  <c r="C599" i="1"/>
  <c r="F599" i="1"/>
  <c r="H599" i="1"/>
  <c r="F600" i="1"/>
  <c r="H600" i="1"/>
  <c r="K600" i="1"/>
  <c r="M600" i="1"/>
  <c r="C601" i="1"/>
  <c r="F601" i="1"/>
  <c r="M601" i="1" s="1"/>
  <c r="H601" i="1"/>
  <c r="F602" i="1"/>
  <c r="H602" i="1"/>
  <c r="K602" i="1"/>
  <c r="M602" i="1"/>
  <c r="C603" i="1"/>
  <c r="F603" i="1"/>
  <c r="M603" i="1" s="1"/>
  <c r="H603" i="1"/>
  <c r="F604" i="1"/>
  <c r="H604" i="1"/>
  <c r="K604" i="1"/>
  <c r="M604" i="1"/>
  <c r="F605" i="1"/>
  <c r="H605" i="1"/>
  <c r="C606" i="1"/>
  <c r="K606" i="1"/>
  <c r="F607" i="1"/>
  <c r="M607" i="1" s="1"/>
  <c r="H607" i="1"/>
  <c r="K607" i="1"/>
  <c r="C608" i="1"/>
  <c r="F608" i="1"/>
  <c r="H608" i="1"/>
  <c r="M608" i="1" s="1"/>
  <c r="F609" i="1"/>
  <c r="M609" i="1" s="1"/>
  <c r="H609" i="1"/>
  <c r="K609" i="1"/>
  <c r="C610" i="1"/>
  <c r="F610" i="1"/>
  <c r="H610" i="1"/>
  <c r="M610" i="1" s="1"/>
  <c r="F611" i="1"/>
  <c r="M611" i="1" s="1"/>
  <c r="H611" i="1"/>
  <c r="K611" i="1"/>
  <c r="C612" i="1"/>
  <c r="F612" i="1"/>
  <c r="H612" i="1"/>
  <c r="M612" i="1" s="1"/>
  <c r="F613" i="1"/>
  <c r="M613" i="1" s="1"/>
  <c r="H613" i="1"/>
  <c r="K613" i="1"/>
  <c r="F614" i="1"/>
  <c r="H614" i="1"/>
  <c r="M614" i="1"/>
  <c r="C615" i="1"/>
  <c r="K615" i="1"/>
  <c r="F616" i="1"/>
  <c r="H616" i="1"/>
  <c r="K616" i="1"/>
  <c r="M616" i="1"/>
  <c r="C617" i="1"/>
  <c r="F617" i="1"/>
  <c r="H617" i="1"/>
  <c r="M617" i="1"/>
  <c r="F618" i="1"/>
  <c r="H618" i="1"/>
  <c r="K618" i="1"/>
  <c r="M618" i="1"/>
  <c r="C619" i="1"/>
  <c r="F619" i="1"/>
  <c r="H619" i="1"/>
  <c r="M619" i="1"/>
  <c r="F620" i="1"/>
  <c r="H620" i="1"/>
  <c r="K620" i="1"/>
  <c r="M620" i="1"/>
  <c r="C621" i="1"/>
  <c r="F621" i="1"/>
  <c r="H621" i="1"/>
  <c r="M621" i="1"/>
  <c r="F622" i="1"/>
  <c r="H622" i="1"/>
  <c r="K622" i="1"/>
  <c r="M622" i="1"/>
  <c r="F623" i="1"/>
  <c r="H623" i="1"/>
  <c r="H624" i="1" s="1"/>
  <c r="C624" i="1"/>
  <c r="K624" i="1"/>
  <c r="F625" i="1"/>
  <c r="M625" i="1" s="1"/>
  <c r="H625" i="1"/>
  <c r="K625" i="1"/>
  <c r="C626" i="1"/>
  <c r="F626" i="1"/>
  <c r="M626" i="1" s="1"/>
  <c r="H626" i="1"/>
  <c r="F627" i="1"/>
  <c r="M627" i="1" s="1"/>
  <c r="H627" i="1"/>
  <c r="K627" i="1"/>
  <c r="C628" i="1"/>
  <c r="F628" i="1"/>
  <c r="M628" i="1" s="1"/>
  <c r="H628" i="1"/>
  <c r="F629" i="1"/>
  <c r="M629" i="1" s="1"/>
  <c r="H629" i="1"/>
  <c r="K629" i="1"/>
  <c r="K633" i="1" s="1"/>
  <c r="C630" i="1"/>
  <c r="F630" i="1"/>
  <c r="M630" i="1" s="1"/>
  <c r="H630" i="1"/>
  <c r="F631" i="1"/>
  <c r="M631" i="1" s="1"/>
  <c r="H631" i="1"/>
  <c r="K631" i="1"/>
  <c r="F632" i="1"/>
  <c r="H632" i="1"/>
  <c r="H633" i="1"/>
  <c r="F634" i="1"/>
  <c r="H634" i="1"/>
  <c r="M634" i="1" s="1"/>
  <c r="K634" i="1"/>
  <c r="C635" i="1"/>
  <c r="F635" i="1"/>
  <c r="F642" i="1" s="1"/>
  <c r="H635" i="1"/>
  <c r="M635" i="1"/>
  <c r="F636" i="1"/>
  <c r="H636" i="1"/>
  <c r="M636" i="1" s="1"/>
  <c r="K636" i="1"/>
  <c r="C637" i="1"/>
  <c r="F637" i="1"/>
  <c r="H637" i="1"/>
  <c r="M637" i="1"/>
  <c r="F638" i="1"/>
  <c r="H638" i="1"/>
  <c r="M638" i="1" s="1"/>
  <c r="K638" i="1"/>
  <c r="C639" i="1"/>
  <c r="F639" i="1"/>
  <c r="H639" i="1"/>
  <c r="M639" i="1"/>
  <c r="F640" i="1"/>
  <c r="H640" i="1"/>
  <c r="M640" i="1" s="1"/>
  <c r="K640" i="1"/>
  <c r="F641" i="1"/>
  <c r="H641" i="1"/>
  <c r="M641" i="1" s="1"/>
  <c r="C642" i="1"/>
  <c r="K642" i="1"/>
  <c r="F643" i="1"/>
  <c r="H643" i="1"/>
  <c r="K643" i="1"/>
  <c r="M643" i="1"/>
  <c r="C644" i="1"/>
  <c r="F644" i="1"/>
  <c r="H644" i="1"/>
  <c r="F645" i="1"/>
  <c r="H645" i="1"/>
  <c r="K645" i="1"/>
  <c r="M645" i="1"/>
  <c r="C646" i="1"/>
  <c r="F646" i="1"/>
  <c r="H646" i="1"/>
  <c r="M646" i="1" s="1"/>
  <c r="F647" i="1"/>
  <c r="H647" i="1"/>
  <c r="K647" i="1"/>
  <c r="M647" i="1"/>
  <c r="C648" i="1"/>
  <c r="F648" i="1"/>
  <c r="H648" i="1"/>
  <c r="M648" i="1" s="1"/>
  <c r="F649" i="1"/>
  <c r="H649" i="1"/>
  <c r="K649" i="1"/>
  <c r="M649" i="1"/>
  <c r="F650" i="1"/>
  <c r="F651" i="1" s="1"/>
  <c r="H650" i="1"/>
  <c r="K651" i="1"/>
  <c r="F652" i="1"/>
  <c r="H652" i="1"/>
  <c r="K652" i="1"/>
  <c r="M652" i="1"/>
  <c r="C653" i="1"/>
  <c r="F653" i="1"/>
  <c r="H653" i="1"/>
  <c r="M653" i="1"/>
  <c r="F654" i="1"/>
  <c r="H654" i="1"/>
  <c r="K654" i="1"/>
  <c r="M654" i="1"/>
  <c r="C655" i="1"/>
  <c r="F655" i="1"/>
  <c r="H655" i="1"/>
  <c r="M655" i="1"/>
  <c r="F656" i="1"/>
  <c r="H656" i="1"/>
  <c r="K656" i="1"/>
  <c r="M656" i="1"/>
  <c r="C657" i="1"/>
  <c r="F657" i="1"/>
  <c r="H657" i="1"/>
  <c r="M657" i="1"/>
  <c r="F658" i="1"/>
  <c r="H658" i="1"/>
  <c r="K658" i="1"/>
  <c r="M658" i="1"/>
  <c r="F659" i="1"/>
  <c r="M659" i="1" s="1"/>
  <c r="H659" i="1"/>
  <c r="C660" i="1"/>
  <c r="F660" i="1"/>
  <c r="H660" i="1"/>
  <c r="K660" i="1"/>
  <c r="F661" i="1"/>
  <c r="M661" i="1" s="1"/>
  <c r="H661" i="1"/>
  <c r="K661" i="1"/>
  <c r="C662" i="1"/>
  <c r="C669" i="1" s="1"/>
  <c r="F662" i="1"/>
  <c r="H662" i="1"/>
  <c r="F663" i="1"/>
  <c r="M663" i="1" s="1"/>
  <c r="H663" i="1"/>
  <c r="K663" i="1"/>
  <c r="C664" i="1"/>
  <c r="F664" i="1"/>
  <c r="M664" i="1" s="1"/>
  <c r="H664" i="1"/>
  <c r="F665" i="1"/>
  <c r="M665" i="1" s="1"/>
  <c r="H665" i="1"/>
  <c r="K665" i="1"/>
  <c r="C666" i="1"/>
  <c r="F666" i="1"/>
  <c r="M666" i="1" s="1"/>
  <c r="H666" i="1"/>
  <c r="F667" i="1"/>
  <c r="M667" i="1" s="1"/>
  <c r="H667" i="1"/>
  <c r="K667" i="1"/>
  <c r="F668" i="1"/>
  <c r="H668" i="1"/>
  <c r="M668" i="1"/>
  <c r="K669" i="1"/>
  <c r="F670" i="1"/>
  <c r="H670" i="1"/>
  <c r="K670" i="1"/>
  <c r="M670" i="1"/>
  <c r="C671" i="1"/>
  <c r="F671" i="1"/>
  <c r="H671" i="1"/>
  <c r="F672" i="1"/>
  <c r="H672" i="1"/>
  <c r="K672" i="1"/>
  <c r="M672" i="1"/>
  <c r="C673" i="1"/>
  <c r="F673" i="1"/>
  <c r="M673" i="1" s="1"/>
  <c r="H673" i="1"/>
  <c r="F674" i="1"/>
  <c r="H674" i="1"/>
  <c r="K674" i="1"/>
  <c r="M674" i="1"/>
  <c r="C675" i="1"/>
  <c r="F675" i="1"/>
  <c r="M675" i="1" s="1"/>
  <c r="H675" i="1"/>
  <c r="F676" i="1"/>
  <c r="H676" i="1"/>
  <c r="K676" i="1"/>
  <c r="M676" i="1"/>
  <c r="F677" i="1"/>
  <c r="H677" i="1"/>
  <c r="C678" i="1"/>
  <c r="K678" i="1"/>
  <c r="F679" i="1"/>
  <c r="M679" i="1" s="1"/>
  <c r="H679" i="1"/>
  <c r="K679" i="1"/>
  <c r="C680" i="1"/>
  <c r="F680" i="1"/>
  <c r="H680" i="1"/>
  <c r="M680" i="1" s="1"/>
  <c r="F681" i="1"/>
  <c r="M681" i="1" s="1"/>
  <c r="H681" i="1"/>
  <c r="K681" i="1"/>
  <c r="C682" i="1"/>
  <c r="F682" i="1"/>
  <c r="H682" i="1"/>
  <c r="M682" i="1" s="1"/>
  <c r="F683" i="1"/>
  <c r="M683" i="1" s="1"/>
  <c r="H683" i="1"/>
  <c r="K683" i="1"/>
  <c r="C684" i="1"/>
  <c r="F684" i="1"/>
  <c r="H684" i="1"/>
  <c r="M684" i="1" s="1"/>
  <c r="F685" i="1"/>
  <c r="M685" i="1" s="1"/>
  <c r="H685" i="1"/>
  <c r="K685" i="1"/>
  <c r="F686" i="1"/>
  <c r="H686" i="1"/>
  <c r="M686" i="1"/>
  <c r="C687" i="1"/>
  <c r="F687" i="1"/>
  <c r="K687" i="1"/>
  <c r="F688" i="1"/>
  <c r="H688" i="1"/>
  <c r="K688" i="1"/>
  <c r="M688" i="1"/>
  <c r="C689" i="1"/>
  <c r="F689" i="1"/>
  <c r="H689" i="1"/>
  <c r="M689" i="1"/>
  <c r="F690" i="1"/>
  <c r="H690" i="1"/>
  <c r="K690" i="1"/>
  <c r="M690" i="1"/>
  <c r="C691" i="1"/>
  <c r="F691" i="1"/>
  <c r="H691" i="1"/>
  <c r="M691" i="1"/>
  <c r="F692" i="1"/>
  <c r="H692" i="1"/>
  <c r="K692" i="1"/>
  <c r="M692" i="1"/>
  <c r="C693" i="1"/>
  <c r="F693" i="1"/>
  <c r="H693" i="1"/>
  <c r="M693" i="1"/>
  <c r="F694" i="1"/>
  <c r="H694" i="1"/>
  <c r="K694" i="1"/>
  <c r="M694" i="1"/>
  <c r="F695" i="1"/>
  <c r="M695" i="1" s="1"/>
  <c r="H695" i="1"/>
  <c r="H696" i="1" s="1"/>
  <c r="C696" i="1"/>
  <c r="K696" i="1"/>
  <c r="F697" i="1"/>
  <c r="M697" i="1" s="1"/>
  <c r="H697" i="1"/>
  <c r="K697" i="1"/>
  <c r="C698" i="1"/>
  <c r="F698" i="1"/>
  <c r="M698" i="1" s="1"/>
  <c r="H698" i="1"/>
  <c r="F699" i="1"/>
  <c r="M699" i="1" s="1"/>
  <c r="H699" i="1"/>
  <c r="K699" i="1"/>
  <c r="C700" i="1"/>
  <c r="F700" i="1"/>
  <c r="M700" i="1" s="1"/>
  <c r="H700" i="1"/>
  <c r="F701" i="1"/>
  <c r="M701" i="1" s="1"/>
  <c r="H701" i="1"/>
  <c r="K701" i="1"/>
  <c r="C702" i="1"/>
  <c r="F702" i="1"/>
  <c r="M702" i="1" s="1"/>
  <c r="H702" i="1"/>
  <c r="F703" i="1"/>
  <c r="M703" i="1" s="1"/>
  <c r="H703" i="1"/>
  <c r="K703" i="1"/>
  <c r="F704" i="1"/>
  <c r="H704" i="1"/>
  <c r="H705" i="1"/>
  <c r="K705" i="1"/>
  <c r="F706" i="1"/>
  <c r="H706" i="1"/>
  <c r="M706" i="1" s="1"/>
  <c r="K706" i="1"/>
  <c r="C707" i="1"/>
  <c r="F707" i="1"/>
  <c r="F714" i="1" s="1"/>
  <c r="H707" i="1"/>
  <c r="M707" i="1"/>
  <c r="F708" i="1"/>
  <c r="H708" i="1"/>
  <c r="M708" i="1" s="1"/>
  <c r="K708" i="1"/>
  <c r="C709" i="1"/>
  <c r="F709" i="1"/>
  <c r="H709" i="1"/>
  <c r="M709" i="1"/>
  <c r="F710" i="1"/>
  <c r="H710" i="1"/>
  <c r="M710" i="1" s="1"/>
  <c r="K710" i="1"/>
  <c r="C711" i="1"/>
  <c r="F711" i="1"/>
  <c r="H711" i="1"/>
  <c r="M711" i="1"/>
  <c r="F712" i="1"/>
  <c r="H712" i="1"/>
  <c r="M712" i="1" s="1"/>
  <c r="K712" i="1"/>
  <c r="F713" i="1"/>
  <c r="H713" i="1"/>
  <c r="M713" i="1" s="1"/>
  <c r="C714" i="1"/>
  <c r="K714" i="1"/>
  <c r="F715" i="1"/>
  <c r="H715" i="1"/>
  <c r="K715" i="1"/>
  <c r="M715" i="1"/>
  <c r="C716" i="1"/>
  <c r="F716" i="1"/>
  <c r="H716" i="1"/>
  <c r="F717" i="1"/>
  <c r="H717" i="1"/>
  <c r="K717" i="1"/>
  <c r="M717" i="1"/>
  <c r="C718" i="1"/>
  <c r="F718" i="1"/>
  <c r="H718" i="1"/>
  <c r="M718" i="1" s="1"/>
  <c r="F719" i="1"/>
  <c r="H719" i="1"/>
  <c r="K719" i="1"/>
  <c r="M719" i="1"/>
  <c r="C720" i="1"/>
  <c r="F720" i="1"/>
  <c r="H720" i="1"/>
  <c r="M720" i="1" s="1"/>
  <c r="F721" i="1"/>
  <c r="H721" i="1"/>
  <c r="K721" i="1"/>
  <c r="M721" i="1"/>
  <c r="F722" i="1"/>
  <c r="F723" i="1" s="1"/>
  <c r="H722" i="1"/>
  <c r="K723" i="1"/>
  <c r="F724" i="1"/>
  <c r="H724" i="1"/>
  <c r="K724" i="1"/>
  <c r="M724" i="1"/>
  <c r="C725" i="1"/>
  <c r="F725" i="1"/>
  <c r="H725" i="1"/>
  <c r="M725" i="1"/>
  <c r="F726" i="1"/>
  <c r="H726" i="1"/>
  <c r="K726" i="1"/>
  <c r="M726" i="1"/>
  <c r="C727" i="1"/>
  <c r="F727" i="1"/>
  <c r="H727" i="1"/>
  <c r="M727" i="1"/>
  <c r="F728" i="1"/>
  <c r="H728" i="1"/>
  <c r="K728" i="1"/>
  <c r="M728" i="1"/>
  <c r="C729" i="1"/>
  <c r="F729" i="1"/>
  <c r="H729" i="1"/>
  <c r="M729" i="1"/>
  <c r="F730" i="1"/>
  <c r="H730" i="1"/>
  <c r="K730" i="1"/>
  <c r="M730" i="1"/>
  <c r="F731" i="1"/>
  <c r="M731" i="1" s="1"/>
  <c r="H731" i="1"/>
  <c r="C732" i="1"/>
  <c r="F732" i="1"/>
  <c r="H732" i="1"/>
  <c r="K732" i="1"/>
  <c r="F733" i="1"/>
  <c r="M733" i="1" s="1"/>
  <c r="H733" i="1"/>
  <c r="K733" i="1"/>
  <c r="C734" i="1"/>
  <c r="C741" i="1" s="1"/>
  <c r="F734" i="1"/>
  <c r="M734" i="1" s="1"/>
  <c r="H734" i="1"/>
  <c r="F735" i="1"/>
  <c r="M735" i="1" s="1"/>
  <c r="H735" i="1"/>
  <c r="K735" i="1"/>
  <c r="C736" i="1"/>
  <c r="F736" i="1"/>
  <c r="H736" i="1"/>
  <c r="F737" i="1"/>
  <c r="M737" i="1" s="1"/>
  <c r="H737" i="1"/>
  <c r="K737" i="1"/>
  <c r="C738" i="1"/>
  <c r="F738" i="1"/>
  <c r="H738" i="1"/>
  <c r="F739" i="1"/>
  <c r="M739" i="1" s="1"/>
  <c r="H739" i="1"/>
  <c r="K739" i="1"/>
  <c r="F740" i="1"/>
  <c r="H740" i="1"/>
  <c r="M740" i="1"/>
  <c r="K741" i="1"/>
  <c r="F742" i="1"/>
  <c r="H742" i="1"/>
  <c r="K742" i="1"/>
  <c r="M742" i="1"/>
  <c r="C743" i="1"/>
  <c r="F743" i="1"/>
  <c r="H743" i="1"/>
  <c r="F744" i="1"/>
  <c r="H744" i="1"/>
  <c r="K744" i="1"/>
  <c r="M744" i="1"/>
  <c r="C745" i="1"/>
  <c r="F745" i="1"/>
  <c r="M745" i="1" s="1"/>
  <c r="H745" i="1"/>
  <c r="F746" i="1"/>
  <c r="H746" i="1"/>
  <c r="K746" i="1"/>
  <c r="M746" i="1"/>
  <c r="C747" i="1"/>
  <c r="F747" i="1"/>
  <c r="M747" i="1" s="1"/>
  <c r="H747" i="1"/>
  <c r="F748" i="1"/>
  <c r="H748" i="1"/>
  <c r="K748" i="1"/>
  <c r="M748" i="1"/>
  <c r="F749" i="1"/>
  <c r="H749" i="1"/>
  <c r="C750" i="1"/>
  <c r="K750" i="1"/>
  <c r="F751" i="1"/>
  <c r="M751" i="1" s="1"/>
  <c r="H751" i="1"/>
  <c r="K751" i="1"/>
  <c r="C752" i="1"/>
  <c r="F752" i="1"/>
  <c r="H752" i="1"/>
  <c r="M752" i="1" s="1"/>
  <c r="F753" i="1"/>
  <c r="M753" i="1" s="1"/>
  <c r="H753" i="1"/>
  <c r="K753" i="1"/>
  <c r="C754" i="1"/>
  <c r="F754" i="1"/>
  <c r="H754" i="1"/>
  <c r="M754" i="1" s="1"/>
  <c r="F755" i="1"/>
  <c r="M755" i="1" s="1"/>
  <c r="H755" i="1"/>
  <c r="K755" i="1"/>
  <c r="C756" i="1"/>
  <c r="F756" i="1"/>
  <c r="H756" i="1"/>
  <c r="M756" i="1" s="1"/>
  <c r="F757" i="1"/>
  <c r="M757" i="1" s="1"/>
  <c r="H757" i="1"/>
  <c r="K757" i="1"/>
  <c r="K759" i="1" s="1"/>
  <c r="F758" i="1"/>
  <c r="H758" i="1"/>
  <c r="M758" i="1"/>
  <c r="C759" i="1"/>
  <c r="F760" i="1"/>
  <c r="H760" i="1"/>
  <c r="K760" i="1"/>
  <c r="M760" i="1"/>
  <c r="C761" i="1"/>
  <c r="F761" i="1"/>
  <c r="H761" i="1"/>
  <c r="M761" i="1"/>
  <c r="F762" i="1"/>
  <c r="H762" i="1"/>
  <c r="K762" i="1"/>
  <c r="M762" i="1"/>
  <c r="C763" i="1"/>
  <c r="F763" i="1"/>
  <c r="H763" i="1"/>
  <c r="M763" i="1"/>
  <c r="F764" i="1"/>
  <c r="H764" i="1"/>
  <c r="K764" i="1"/>
  <c r="M764" i="1"/>
  <c r="C765" i="1"/>
  <c r="F765" i="1"/>
  <c r="H765" i="1"/>
  <c r="M765" i="1"/>
  <c r="F766" i="1"/>
  <c r="H766" i="1"/>
  <c r="K766" i="1"/>
  <c r="M766" i="1"/>
  <c r="F767" i="1"/>
  <c r="M767" i="1" s="1"/>
  <c r="H767" i="1"/>
  <c r="H768" i="1" s="1"/>
  <c r="C768" i="1"/>
  <c r="K768" i="1"/>
  <c r="F769" i="1"/>
  <c r="M769" i="1" s="1"/>
  <c r="H769" i="1"/>
  <c r="K769" i="1"/>
  <c r="C770" i="1"/>
  <c r="F770" i="1"/>
  <c r="M770" i="1" s="1"/>
  <c r="H770" i="1"/>
  <c r="F771" i="1"/>
  <c r="M771" i="1" s="1"/>
  <c r="H771" i="1"/>
  <c r="K771" i="1"/>
  <c r="C772" i="1"/>
  <c r="F772" i="1"/>
  <c r="M772" i="1" s="1"/>
  <c r="H772" i="1"/>
  <c r="F773" i="1"/>
  <c r="M773" i="1" s="1"/>
  <c r="H773" i="1"/>
  <c r="K773" i="1"/>
  <c r="C774" i="1"/>
  <c r="F774" i="1"/>
  <c r="M774" i="1" s="1"/>
  <c r="H774" i="1"/>
  <c r="F775" i="1"/>
  <c r="M775" i="1" s="1"/>
  <c r="H775" i="1"/>
  <c r="K775" i="1"/>
  <c r="F776" i="1"/>
  <c r="M776" i="1" s="1"/>
  <c r="H776" i="1"/>
  <c r="F777" i="1"/>
  <c r="H777" i="1"/>
  <c r="K777" i="1"/>
  <c r="F778" i="1"/>
  <c r="H778" i="1"/>
  <c r="M778" i="1" s="1"/>
  <c r="K778" i="1"/>
  <c r="C779" i="1"/>
  <c r="F779" i="1"/>
  <c r="H779" i="1"/>
  <c r="M779" i="1"/>
  <c r="F780" i="1"/>
  <c r="H780" i="1"/>
  <c r="M780" i="1" s="1"/>
  <c r="K780" i="1"/>
  <c r="C781" i="1"/>
  <c r="F781" i="1"/>
  <c r="H781" i="1"/>
  <c r="M781" i="1"/>
  <c r="F782" i="1"/>
  <c r="H782" i="1"/>
  <c r="M782" i="1" s="1"/>
  <c r="K782" i="1"/>
  <c r="C783" i="1"/>
  <c r="F783" i="1"/>
  <c r="M783" i="1" s="1"/>
  <c r="H783" i="1"/>
  <c r="F784" i="1"/>
  <c r="H784" i="1"/>
  <c r="M784" i="1" s="1"/>
  <c r="K784" i="1"/>
  <c r="F785" i="1"/>
  <c r="H785" i="1"/>
  <c r="M785" i="1" s="1"/>
  <c r="C786" i="1"/>
  <c r="K786" i="1"/>
  <c r="F787" i="1"/>
  <c r="H787" i="1"/>
  <c r="K787" i="1"/>
  <c r="K795" i="1" s="1"/>
  <c r="M787" i="1"/>
  <c r="C788" i="1"/>
  <c r="F788" i="1"/>
  <c r="H788" i="1"/>
  <c r="F789" i="1"/>
  <c r="H789" i="1"/>
  <c r="K789" i="1"/>
  <c r="M789" i="1"/>
  <c r="C790" i="1"/>
  <c r="F790" i="1"/>
  <c r="H790" i="1"/>
  <c r="M790" i="1" s="1"/>
  <c r="F791" i="1"/>
  <c r="H791" i="1"/>
  <c r="K791" i="1"/>
  <c r="M791" i="1"/>
  <c r="C792" i="1"/>
  <c r="F792" i="1"/>
  <c r="H792" i="1"/>
  <c r="M792" i="1" s="1"/>
  <c r="F793" i="1"/>
  <c r="H793" i="1"/>
  <c r="K793" i="1"/>
  <c r="M793" i="1"/>
  <c r="F794" i="1"/>
  <c r="F795" i="1" s="1"/>
  <c r="H794" i="1"/>
  <c r="M794" i="1"/>
  <c r="F796" i="1"/>
  <c r="H796" i="1"/>
  <c r="K796" i="1"/>
  <c r="M796" i="1"/>
  <c r="C797" i="1"/>
  <c r="F797" i="1"/>
  <c r="H797" i="1"/>
  <c r="M797" i="1"/>
  <c r="F798" i="1"/>
  <c r="H798" i="1"/>
  <c r="K798" i="1"/>
  <c r="M798" i="1"/>
  <c r="C799" i="1"/>
  <c r="F799" i="1"/>
  <c r="H799" i="1"/>
  <c r="M799" i="1"/>
  <c r="F800" i="1"/>
  <c r="H800" i="1"/>
  <c r="K800" i="1"/>
  <c r="M800" i="1"/>
  <c r="C801" i="1"/>
  <c r="F801" i="1"/>
  <c r="H801" i="1"/>
  <c r="M801" i="1"/>
  <c r="F802" i="1"/>
  <c r="H802" i="1"/>
  <c r="K802" i="1"/>
  <c r="M802" i="1"/>
  <c r="F803" i="1"/>
  <c r="M803" i="1" s="1"/>
  <c r="H803" i="1"/>
  <c r="C804" i="1"/>
  <c r="F804" i="1"/>
  <c r="H804" i="1"/>
  <c r="K804" i="1"/>
  <c r="F805" i="1"/>
  <c r="M805" i="1" s="1"/>
  <c r="H805" i="1"/>
  <c r="K805" i="1"/>
  <c r="C806" i="1"/>
  <c r="C813" i="1" s="1"/>
  <c r="F806" i="1"/>
  <c r="M806" i="1" s="1"/>
  <c r="H806" i="1"/>
  <c r="F807" i="1"/>
  <c r="M807" i="1" s="1"/>
  <c r="H807" i="1"/>
  <c r="K807" i="1"/>
  <c r="C808" i="1"/>
  <c r="F808" i="1"/>
  <c r="H808" i="1"/>
  <c r="F809" i="1"/>
  <c r="M809" i="1" s="1"/>
  <c r="H809" i="1"/>
  <c r="K809" i="1"/>
  <c r="C810" i="1"/>
  <c r="F810" i="1"/>
  <c r="H810" i="1"/>
  <c r="F811" i="1"/>
  <c r="M811" i="1" s="1"/>
  <c r="H811" i="1"/>
  <c r="K811" i="1"/>
  <c r="F812" i="1"/>
  <c r="H812" i="1"/>
  <c r="M812" i="1"/>
  <c r="K813" i="1"/>
  <c r="F814" i="1"/>
  <c r="H814" i="1"/>
  <c r="M814" i="1" s="1"/>
  <c r="K814" i="1"/>
  <c r="C815" i="1"/>
  <c r="F815" i="1"/>
  <c r="H815" i="1"/>
  <c r="F816" i="1"/>
  <c r="H816" i="1"/>
  <c r="K816" i="1"/>
  <c r="M816" i="1"/>
  <c r="C817" i="1"/>
  <c r="F817" i="1"/>
  <c r="M817" i="1" s="1"/>
  <c r="H817" i="1"/>
  <c r="F818" i="1"/>
  <c r="H818" i="1"/>
  <c r="K818" i="1"/>
  <c r="K822" i="1" s="1"/>
  <c r="M818" i="1"/>
  <c r="C819" i="1"/>
  <c r="F819" i="1"/>
  <c r="M819" i="1" s="1"/>
  <c r="H819" i="1"/>
  <c r="F820" i="1"/>
  <c r="H820" i="1"/>
  <c r="K820" i="1"/>
  <c r="M820" i="1"/>
  <c r="F821" i="1"/>
  <c r="H821" i="1"/>
  <c r="M821" i="1" s="1"/>
  <c r="C822" i="1"/>
  <c r="F823" i="1"/>
  <c r="M823" i="1" s="1"/>
  <c r="H823" i="1"/>
  <c r="K823" i="1"/>
  <c r="K831" i="1" s="1"/>
  <c r="C824" i="1"/>
  <c r="F824" i="1"/>
  <c r="H824" i="1"/>
  <c r="M824" i="1"/>
  <c r="F825" i="1"/>
  <c r="M825" i="1" s="1"/>
  <c r="H825" i="1"/>
  <c r="K825" i="1"/>
  <c r="C826" i="1"/>
  <c r="F826" i="1"/>
  <c r="H826" i="1"/>
  <c r="M826" i="1" s="1"/>
  <c r="F827" i="1"/>
  <c r="M827" i="1" s="1"/>
  <c r="H827" i="1"/>
  <c r="K827" i="1"/>
  <c r="C828" i="1"/>
  <c r="F828" i="1"/>
  <c r="H828" i="1"/>
  <c r="M828" i="1" s="1"/>
  <c r="F829" i="1"/>
  <c r="M829" i="1" s="1"/>
  <c r="H829" i="1"/>
  <c r="K829" i="1"/>
  <c r="F830" i="1"/>
  <c r="H830" i="1"/>
  <c r="M830" i="1"/>
  <c r="C831" i="1"/>
  <c r="F831" i="1"/>
  <c r="F832" i="1"/>
  <c r="H832" i="1"/>
  <c r="K832" i="1"/>
  <c r="M832" i="1"/>
  <c r="C833" i="1"/>
  <c r="F833" i="1"/>
  <c r="H833" i="1"/>
  <c r="F834" i="1"/>
  <c r="H834" i="1"/>
  <c r="K834" i="1"/>
  <c r="M834" i="1"/>
  <c r="C835" i="1"/>
  <c r="F835" i="1"/>
  <c r="M835" i="1" s="1"/>
  <c r="H835" i="1"/>
  <c r="F836" i="1"/>
  <c r="H836" i="1"/>
  <c r="K836" i="1"/>
  <c r="M836" i="1"/>
  <c r="C837" i="1"/>
  <c r="F837" i="1"/>
  <c r="M837" i="1" s="1"/>
  <c r="H837" i="1"/>
  <c r="F838" i="1"/>
  <c r="H838" i="1"/>
  <c r="K838" i="1"/>
  <c r="M838" i="1"/>
  <c r="F839" i="1"/>
  <c r="H839" i="1"/>
  <c r="H840" i="1" s="1"/>
  <c r="C840" i="1"/>
  <c r="K840" i="1"/>
  <c r="F841" i="1"/>
  <c r="M841" i="1" s="1"/>
  <c r="H841" i="1"/>
  <c r="K841" i="1"/>
  <c r="C842" i="1"/>
  <c r="C849" i="1" s="1"/>
  <c r="F842" i="1"/>
  <c r="M842" i="1" s="1"/>
  <c r="H842" i="1"/>
  <c r="F843" i="1"/>
  <c r="M843" i="1" s="1"/>
  <c r="H843" i="1"/>
  <c r="K843" i="1"/>
  <c r="K849" i="1" s="1"/>
  <c r="C844" i="1"/>
  <c r="F844" i="1"/>
  <c r="M844" i="1" s="1"/>
  <c r="H844" i="1"/>
  <c r="F845" i="1"/>
  <c r="H845" i="1"/>
  <c r="H849" i="1" s="1"/>
  <c r="K845" i="1"/>
  <c r="C846" i="1"/>
  <c r="F846" i="1"/>
  <c r="M846" i="1" s="1"/>
  <c r="H846" i="1"/>
  <c r="F847" i="1"/>
  <c r="H847" i="1"/>
  <c r="K847" i="1"/>
  <c r="F848" i="1"/>
  <c r="M848" i="1" s="1"/>
  <c r="H848" i="1"/>
  <c r="F850" i="1"/>
  <c r="H850" i="1"/>
  <c r="M850" i="1" s="1"/>
  <c r="K850" i="1"/>
  <c r="C851" i="1"/>
  <c r="F851" i="1"/>
  <c r="M851" i="1" s="1"/>
  <c r="H851" i="1"/>
  <c r="F852" i="1"/>
  <c r="H852" i="1"/>
  <c r="M852" i="1" s="1"/>
  <c r="K852" i="1"/>
  <c r="C853" i="1"/>
  <c r="F853" i="1"/>
  <c r="M853" i="1" s="1"/>
  <c r="H853" i="1"/>
  <c r="F854" i="1"/>
  <c r="H854" i="1"/>
  <c r="M854" i="1" s="1"/>
  <c r="K854" i="1"/>
  <c r="C855" i="1"/>
  <c r="F855" i="1"/>
  <c r="H855" i="1"/>
  <c r="M855" i="1" s="1"/>
  <c r="F856" i="1"/>
  <c r="H856" i="1"/>
  <c r="M856" i="1" s="1"/>
  <c r="K856" i="1"/>
  <c r="F857" i="1"/>
  <c r="H857" i="1"/>
  <c r="M857" i="1" s="1"/>
  <c r="C858" i="1"/>
  <c r="K858" i="1"/>
  <c r="F859" i="1"/>
  <c r="H859" i="1"/>
  <c r="K859" i="1"/>
  <c r="M859" i="1"/>
  <c r="C860" i="1"/>
  <c r="F860" i="1"/>
  <c r="H860" i="1"/>
  <c r="F861" i="1"/>
  <c r="H861" i="1"/>
  <c r="K861" i="1"/>
  <c r="M861" i="1"/>
  <c r="C862" i="1"/>
  <c r="F862" i="1"/>
  <c r="H862" i="1"/>
  <c r="M862" i="1" s="1"/>
  <c r="F863" i="1"/>
  <c r="H863" i="1"/>
  <c r="K863" i="1"/>
  <c r="M863" i="1"/>
  <c r="C864" i="1"/>
  <c r="F864" i="1"/>
  <c r="H864" i="1"/>
  <c r="M864" i="1" s="1"/>
  <c r="F865" i="1"/>
  <c r="H865" i="1"/>
  <c r="K865" i="1"/>
  <c r="M865" i="1"/>
  <c r="F866" i="1"/>
  <c r="F867" i="1" s="1"/>
  <c r="H866" i="1"/>
  <c r="M866" i="1"/>
  <c r="K867" i="1"/>
  <c r="F868" i="1"/>
  <c r="M868" i="1" s="1"/>
  <c r="H868" i="1"/>
  <c r="K868" i="1"/>
  <c r="C869" i="1"/>
  <c r="F869" i="1"/>
  <c r="H869" i="1"/>
  <c r="M869" i="1"/>
  <c r="F870" i="1"/>
  <c r="M870" i="1" s="1"/>
  <c r="H870" i="1"/>
  <c r="K870" i="1"/>
  <c r="C871" i="1"/>
  <c r="F871" i="1"/>
  <c r="H871" i="1"/>
  <c r="M871" i="1"/>
  <c r="F872" i="1"/>
  <c r="M872" i="1" s="1"/>
  <c r="H872" i="1"/>
  <c r="K872" i="1"/>
  <c r="C873" i="1"/>
  <c r="F873" i="1"/>
  <c r="H873" i="1"/>
  <c r="M873" i="1"/>
  <c r="F874" i="1"/>
  <c r="M874" i="1" s="1"/>
  <c r="H874" i="1"/>
  <c r="K874" i="1"/>
  <c r="F875" i="1"/>
  <c r="M875" i="1" s="1"/>
  <c r="H875" i="1"/>
  <c r="C876" i="1"/>
  <c r="H876" i="1"/>
  <c r="K876" i="1"/>
  <c r="F877" i="1"/>
  <c r="M877" i="1" s="1"/>
  <c r="H877" i="1"/>
  <c r="K877" i="1"/>
  <c r="C878" i="1"/>
  <c r="F878" i="1"/>
  <c r="M878" i="1" s="1"/>
  <c r="H878" i="1"/>
  <c r="F879" i="1"/>
  <c r="M879" i="1" s="1"/>
  <c r="H879" i="1"/>
  <c r="K879" i="1"/>
  <c r="C880" i="1"/>
  <c r="F880" i="1"/>
  <c r="M880" i="1" s="1"/>
  <c r="H880" i="1"/>
  <c r="F881" i="1"/>
  <c r="M881" i="1" s="1"/>
  <c r="H881" i="1"/>
  <c r="K881" i="1"/>
  <c r="C882" i="1"/>
  <c r="F882" i="1"/>
  <c r="H882" i="1"/>
  <c r="F883" i="1"/>
  <c r="M883" i="1" s="1"/>
  <c r="H883" i="1"/>
  <c r="K883" i="1"/>
  <c r="F884" i="1"/>
  <c r="H884" i="1"/>
  <c r="M884" i="1" s="1"/>
  <c r="K885" i="1"/>
  <c r="F886" i="1"/>
  <c r="H886" i="1"/>
  <c r="K886" i="1"/>
  <c r="M886" i="1"/>
  <c r="C887" i="1"/>
  <c r="F887" i="1"/>
  <c r="H887" i="1"/>
  <c r="F888" i="1"/>
  <c r="H888" i="1"/>
  <c r="K888" i="1"/>
  <c r="M888" i="1"/>
  <c r="C889" i="1"/>
  <c r="F889" i="1"/>
  <c r="M889" i="1" s="1"/>
  <c r="H889" i="1"/>
  <c r="F890" i="1"/>
  <c r="H890" i="1"/>
  <c r="M890" i="1" s="1"/>
  <c r="K890" i="1"/>
  <c r="C891" i="1"/>
  <c r="F891" i="1"/>
  <c r="M891" i="1" s="1"/>
  <c r="H891" i="1"/>
  <c r="F892" i="1"/>
  <c r="H892" i="1"/>
  <c r="K892" i="1"/>
  <c r="M892" i="1"/>
  <c r="F893" i="1"/>
  <c r="H893" i="1"/>
  <c r="M893" i="1" s="1"/>
  <c r="C894" i="1"/>
  <c r="H894" i="1"/>
  <c r="K894" i="1"/>
  <c r="F895" i="1"/>
  <c r="M895" i="1" s="1"/>
  <c r="H895" i="1"/>
  <c r="K895" i="1"/>
  <c r="C896" i="1"/>
  <c r="F896" i="1"/>
  <c r="H896" i="1"/>
  <c r="H903" i="1" s="1"/>
  <c r="M896" i="1"/>
  <c r="F897" i="1"/>
  <c r="M897" i="1" s="1"/>
  <c r="H897" i="1"/>
  <c r="K897" i="1"/>
  <c r="C898" i="1"/>
  <c r="C903" i="1" s="1"/>
  <c r="F898" i="1"/>
  <c r="H898" i="1"/>
  <c r="M898" i="1"/>
  <c r="F899" i="1"/>
  <c r="M899" i="1" s="1"/>
  <c r="H899" i="1"/>
  <c r="K899" i="1"/>
  <c r="C900" i="1"/>
  <c r="F900" i="1"/>
  <c r="H900" i="1"/>
  <c r="M900" i="1"/>
  <c r="F901" i="1"/>
  <c r="M901" i="1" s="1"/>
  <c r="H901" i="1"/>
  <c r="K901" i="1"/>
  <c r="K903" i="1" s="1"/>
  <c r="F902" i="1"/>
  <c r="H902" i="1"/>
  <c r="M902" i="1"/>
  <c r="F904" i="1"/>
  <c r="M904" i="1" s="1"/>
  <c r="H904" i="1"/>
  <c r="K904" i="1"/>
  <c r="C905" i="1"/>
  <c r="F905" i="1"/>
  <c r="H905" i="1"/>
  <c r="M905" i="1"/>
  <c r="F906" i="1"/>
  <c r="M906" i="1" s="1"/>
  <c r="H906" i="1"/>
  <c r="K906" i="1"/>
  <c r="C907" i="1"/>
  <c r="F907" i="1"/>
  <c r="H907" i="1"/>
  <c r="M907" i="1"/>
  <c r="F908" i="1"/>
  <c r="M908" i="1" s="1"/>
  <c r="H908" i="1"/>
  <c r="K908" i="1"/>
  <c r="C909" i="1"/>
  <c r="F909" i="1"/>
  <c r="H909" i="1"/>
  <c r="M909" i="1"/>
  <c r="F910" i="1"/>
  <c r="M910" i="1" s="1"/>
  <c r="H910" i="1"/>
  <c r="K910" i="1"/>
  <c r="F911" i="1"/>
  <c r="M911" i="1" s="1"/>
  <c r="H911" i="1"/>
  <c r="C912" i="1"/>
  <c r="H912" i="1"/>
  <c r="K912" i="1"/>
  <c r="F913" i="1"/>
  <c r="H913" i="1"/>
  <c r="H921" i="1" s="1"/>
  <c r="K913" i="1"/>
  <c r="C914" i="1"/>
  <c r="F914" i="1"/>
  <c r="H914" i="1"/>
  <c r="M914" i="1"/>
  <c r="F915" i="1"/>
  <c r="M915" i="1" s="1"/>
  <c r="H915" i="1"/>
  <c r="K915" i="1"/>
  <c r="C916" i="1"/>
  <c r="F916" i="1"/>
  <c r="H916" i="1"/>
  <c r="M916" i="1"/>
  <c r="F917" i="1"/>
  <c r="M917" i="1" s="1"/>
  <c r="H917" i="1"/>
  <c r="K917" i="1"/>
  <c r="C918" i="1"/>
  <c r="F918" i="1"/>
  <c r="H918" i="1"/>
  <c r="M918" i="1"/>
  <c r="F919" i="1"/>
  <c r="M919" i="1" s="1"/>
  <c r="H919" i="1"/>
  <c r="K919" i="1"/>
  <c r="F920" i="1"/>
  <c r="H920" i="1"/>
  <c r="M920" i="1"/>
  <c r="C921" i="1"/>
  <c r="F921" i="1"/>
  <c r="K921" i="1"/>
  <c r="F12" i="1"/>
  <c r="F15" i="1"/>
  <c r="F13" i="1"/>
  <c r="H13" i="1"/>
  <c r="M13" i="1" s="1"/>
  <c r="K13" i="1"/>
  <c r="C14" i="1"/>
  <c r="F14" i="1"/>
  <c r="H14" i="1"/>
  <c r="M14" i="1"/>
  <c r="H15" i="1"/>
  <c r="M15" i="1" s="1"/>
  <c r="K15" i="1"/>
  <c r="C16" i="1"/>
  <c r="F16" i="1"/>
  <c r="H16" i="1"/>
  <c r="M16" i="1"/>
  <c r="F17" i="1"/>
  <c r="H17" i="1"/>
  <c r="M17" i="1" s="1"/>
  <c r="K17" i="1"/>
  <c r="C18" i="1"/>
  <c r="F18" i="1"/>
  <c r="H18" i="1"/>
  <c r="M18" i="1"/>
  <c r="F19" i="1"/>
  <c r="H19" i="1"/>
  <c r="M19" i="1" s="1"/>
  <c r="K19" i="1"/>
  <c r="F20" i="1"/>
  <c r="M20" i="1" s="1"/>
  <c r="H20" i="1"/>
  <c r="C21" i="1"/>
  <c r="F21" i="1"/>
  <c r="H21" i="1"/>
  <c r="K21" i="1"/>
  <c r="M11" i="1"/>
  <c r="M5" i="1"/>
  <c r="M6" i="1"/>
  <c r="M7" i="1"/>
  <c r="M8" i="1"/>
  <c r="M9" i="1"/>
  <c r="M10" i="1"/>
  <c r="M4" i="1"/>
  <c r="F11" i="1"/>
  <c r="F10" i="1"/>
  <c r="F9" i="1"/>
  <c r="F8" i="1"/>
  <c r="F7" i="1"/>
  <c r="F6" i="1"/>
  <c r="F5" i="1"/>
  <c r="F4" i="1"/>
  <c r="F840" i="1" l="1"/>
  <c r="H885" i="1"/>
  <c r="F876" i="1"/>
  <c r="C867" i="1"/>
  <c r="M845" i="1"/>
  <c r="M839" i="1"/>
  <c r="M808" i="1"/>
  <c r="M736" i="1"/>
  <c r="F615" i="1"/>
  <c r="M594" i="1"/>
  <c r="M482" i="1"/>
  <c r="F489" i="1"/>
  <c r="M472" i="1"/>
  <c r="F480" i="1"/>
  <c r="F462" i="1"/>
  <c r="M385" i="1"/>
  <c r="H363" i="1"/>
  <c r="M356" i="1"/>
  <c r="H246" i="1"/>
  <c r="M239" i="1"/>
  <c r="M229" i="1"/>
  <c r="F237" i="1"/>
  <c r="M283" i="1"/>
  <c r="F291" i="1"/>
  <c r="F669" i="1"/>
  <c r="M632" i="1"/>
  <c r="F633" i="1"/>
  <c r="F624" i="1"/>
  <c r="M599" i="1"/>
  <c r="F606" i="1"/>
  <c r="F336" i="1"/>
  <c r="F30" i="1"/>
  <c r="M580" i="1"/>
  <c r="F588" i="1"/>
  <c r="H210" i="1"/>
  <c r="C885" i="1"/>
  <c r="M847" i="1"/>
  <c r="F813" i="1"/>
  <c r="M810" i="1"/>
  <c r="F786" i="1"/>
  <c r="F759" i="1"/>
  <c r="F741" i="1"/>
  <c r="M738" i="1"/>
  <c r="M704" i="1"/>
  <c r="F705" i="1"/>
  <c r="F696" i="1"/>
  <c r="M671" i="1"/>
  <c r="F678" i="1"/>
  <c r="M644" i="1"/>
  <c r="H651" i="1"/>
  <c r="H642" i="1"/>
  <c r="M623" i="1"/>
  <c r="H588" i="1"/>
  <c r="M157" i="1"/>
  <c r="F165" i="1"/>
  <c r="M815" i="1"/>
  <c r="F822" i="1"/>
  <c r="M788" i="1"/>
  <c r="H795" i="1"/>
  <c r="H786" i="1"/>
  <c r="F768" i="1"/>
  <c r="M743" i="1"/>
  <c r="F750" i="1"/>
  <c r="M716" i="1"/>
  <c r="H723" i="1"/>
  <c r="H714" i="1"/>
  <c r="C633" i="1"/>
  <c r="H597" i="1"/>
  <c r="H498" i="1"/>
  <c r="M410" i="1"/>
  <c r="F417" i="1"/>
  <c r="H669" i="1"/>
  <c r="C651" i="1"/>
  <c r="M605" i="1"/>
  <c r="H606" i="1"/>
  <c r="M499" i="1"/>
  <c r="F507" i="1"/>
  <c r="F534" i="1"/>
  <c r="M527" i="1"/>
  <c r="F912" i="1"/>
  <c r="F903" i="1"/>
  <c r="H822" i="1"/>
  <c r="C705" i="1"/>
  <c r="M913" i="1"/>
  <c r="F885" i="1"/>
  <c r="M882" i="1"/>
  <c r="F849" i="1"/>
  <c r="M833" i="1"/>
  <c r="H831" i="1"/>
  <c r="H813" i="1"/>
  <c r="C795" i="1"/>
  <c r="C777" i="1"/>
  <c r="H741" i="1"/>
  <c r="C723" i="1"/>
  <c r="M677" i="1"/>
  <c r="H678" i="1"/>
  <c r="M662" i="1"/>
  <c r="M650" i="1"/>
  <c r="F525" i="1"/>
  <c r="K525" i="1"/>
  <c r="C516" i="1"/>
  <c r="K399" i="1"/>
  <c r="M365" i="1"/>
  <c r="F372" i="1"/>
  <c r="C273" i="1"/>
  <c r="M258" i="1"/>
  <c r="F264" i="1"/>
  <c r="M202" i="1"/>
  <c r="M887" i="1"/>
  <c r="F894" i="1"/>
  <c r="M860" i="1"/>
  <c r="H867" i="1"/>
  <c r="H858" i="1"/>
  <c r="F858" i="1"/>
  <c r="M749" i="1"/>
  <c r="H750" i="1"/>
  <c r="M722" i="1"/>
  <c r="K570" i="1"/>
  <c r="H390" i="1"/>
  <c r="M326" i="1"/>
  <c r="F327" i="1"/>
  <c r="K327" i="1"/>
  <c r="K309" i="1"/>
  <c r="K282" i="1"/>
  <c r="H759" i="1"/>
  <c r="H687" i="1"/>
  <c r="H615" i="1"/>
  <c r="M562" i="1"/>
  <c r="M554" i="1"/>
  <c r="F561" i="1"/>
  <c r="C489" i="1"/>
  <c r="H462" i="1"/>
  <c r="M437" i="1"/>
  <c r="F444" i="1"/>
  <c r="H417" i="1"/>
  <c r="M379" i="1"/>
  <c r="F363" i="1"/>
  <c r="M299" i="1"/>
  <c r="M268" i="1"/>
  <c r="M256" i="1"/>
  <c r="C255" i="1"/>
  <c r="F246" i="1"/>
  <c r="M221" i="1"/>
  <c r="F228" i="1"/>
  <c r="C201" i="1"/>
  <c r="F174" i="1"/>
  <c r="M149" i="1"/>
  <c r="F156" i="1"/>
  <c r="M124" i="1"/>
  <c r="M112" i="1"/>
  <c r="C111" i="1"/>
  <c r="H57" i="1"/>
  <c r="H30" i="1"/>
  <c r="M556" i="1"/>
  <c r="M544" i="1"/>
  <c r="C543" i="1"/>
  <c r="M515" i="1"/>
  <c r="M474" i="1"/>
  <c r="C471" i="1"/>
  <c r="F390" i="1"/>
  <c r="M373" i="1"/>
  <c r="C372" i="1"/>
  <c r="M338" i="1"/>
  <c r="F345" i="1"/>
  <c r="M270" i="1"/>
  <c r="M260" i="1"/>
  <c r="M186" i="1"/>
  <c r="M126" i="1"/>
  <c r="M116" i="1"/>
  <c r="F75" i="1"/>
  <c r="C57" i="1"/>
  <c r="M476" i="1"/>
  <c r="M412" i="1"/>
  <c r="M400" i="1"/>
  <c r="C345" i="1"/>
  <c r="H318" i="1"/>
  <c r="M254" i="1"/>
  <c r="F255" i="1"/>
  <c r="H219" i="1"/>
  <c r="M212" i="1"/>
  <c r="M188" i="1"/>
  <c r="H147" i="1"/>
  <c r="M140" i="1"/>
  <c r="M118" i="1"/>
  <c r="M110" i="1"/>
  <c r="F111" i="1"/>
  <c r="H102" i="1"/>
  <c r="M77" i="1"/>
  <c r="F84" i="1"/>
  <c r="M52" i="1"/>
  <c r="M40" i="1"/>
  <c r="C39" i="1"/>
  <c r="M581" i="1"/>
  <c r="F579" i="1"/>
  <c r="M558" i="1"/>
  <c r="M548" i="1"/>
  <c r="H507" i="1"/>
  <c r="M478" i="1"/>
  <c r="M470" i="1"/>
  <c r="F471" i="1"/>
  <c r="M443" i="1"/>
  <c r="M402" i="1"/>
  <c r="M375" i="1"/>
  <c r="M340" i="1"/>
  <c r="M328" i="1"/>
  <c r="C327" i="1"/>
  <c r="F318" i="1"/>
  <c r="F309" i="1"/>
  <c r="M293" i="1"/>
  <c r="F300" i="1"/>
  <c r="M227" i="1"/>
  <c r="M190" i="1"/>
  <c r="M182" i="1"/>
  <c r="F183" i="1"/>
  <c r="M155" i="1"/>
  <c r="F102" i="1"/>
  <c r="F93" i="1"/>
  <c r="M42" i="1"/>
  <c r="M542" i="1"/>
  <c r="F543" i="1"/>
  <c r="C300" i="1"/>
  <c r="H273" i="1"/>
  <c r="H129" i="1"/>
  <c r="H534" i="1"/>
  <c r="M509" i="1"/>
  <c r="F516" i="1"/>
  <c r="H489" i="1"/>
  <c r="H435" i="1"/>
  <c r="M398" i="1"/>
  <c r="F399" i="1"/>
  <c r="M332" i="1"/>
  <c r="M266" i="1"/>
  <c r="F273" i="1"/>
  <c r="H75" i="1"/>
  <c r="M68" i="1"/>
  <c r="M46" i="1"/>
  <c r="M38" i="1"/>
  <c r="F39" i="1"/>
  <c r="F570" i="1"/>
  <c r="F498" i="1"/>
  <c r="F354" i="1"/>
  <c r="F138" i="1"/>
  <c r="F66" i="1"/>
  <c r="F201" i="1"/>
  <c r="F129" i="1"/>
  <c r="F57" i="1"/>
  <c r="K12" i="1"/>
  <c r="C5" i="1" l="1"/>
  <c r="K10" i="1"/>
  <c r="K8" i="1"/>
  <c r="K6" i="1"/>
  <c r="K4" i="1"/>
  <c r="C9" i="1"/>
  <c r="C7" i="1"/>
  <c r="H12" i="1"/>
  <c r="H6" i="1"/>
  <c r="H7" i="1"/>
  <c r="H8" i="1"/>
  <c r="H9" i="1"/>
  <c r="H10" i="1"/>
  <c r="H11" i="1"/>
  <c r="H5" i="1"/>
  <c r="H4" i="1"/>
  <c r="C12" i="1" l="1"/>
</calcChain>
</file>

<file path=xl/sharedStrings.xml><?xml version="1.0" encoding="utf-8"?>
<sst xmlns="http://schemas.openxmlformats.org/spreadsheetml/2006/main" count="1244" uniqueCount="21">
  <si>
    <t>게이트</t>
    <phoneticPr fontId="1" type="noConversion"/>
  </si>
  <si>
    <t>서버</t>
    <phoneticPr fontId="1" type="noConversion"/>
  </si>
  <si>
    <t>클라</t>
    <phoneticPr fontId="1" type="noConversion"/>
  </si>
  <si>
    <t>합</t>
    <phoneticPr fontId="1" type="noConversion"/>
  </si>
  <si>
    <t>합</t>
    <phoneticPr fontId="1" type="noConversion"/>
  </si>
  <si>
    <t>클라 작업</t>
    <phoneticPr fontId="1" type="noConversion"/>
  </si>
  <si>
    <t>서버 작업</t>
    <phoneticPr fontId="1" type="noConversion"/>
  </si>
  <si>
    <t>총 102회</t>
    <phoneticPr fontId="1" type="noConversion"/>
  </si>
  <si>
    <t>전송시간</t>
    <phoneticPr fontId="1" type="noConversion"/>
  </si>
  <si>
    <t>전송시간</t>
    <phoneticPr fontId="1" type="noConversion"/>
  </si>
  <si>
    <t>Length</t>
    <phoneticPr fontId="1" type="noConversion"/>
  </si>
  <si>
    <t>Info</t>
    <phoneticPr fontId="1" type="noConversion"/>
  </si>
  <si>
    <t>Client Hello</t>
  </si>
  <si>
    <t>Hello Verify Request</t>
  </si>
  <si>
    <t>Server Hello, Certificate, Server Key Exchange, Certificate Request, Server Hello Done</t>
  </si>
  <si>
    <t>Certificate, Client Key Exchange, Certificate Verify, Change Cipher Spec, Encrypted Handshake Message</t>
  </si>
  <si>
    <t>Change Cipher Spec, Encrypted Handshake Message</t>
  </si>
  <si>
    <t>Application Data</t>
  </si>
  <si>
    <t>걸린시간</t>
    <phoneticPr fontId="1" type="noConversion"/>
  </si>
  <si>
    <t>평균전송시간</t>
    <phoneticPr fontId="1" type="noConversion"/>
  </si>
  <si>
    <t>구간평균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</si>
</sst>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</cellXfs>
  <cellStyles count="1">
    <cellStyle name="표준" xfId="0" builtinId="0"/>
  </cellStyles>
  <dxfs count="15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9</xdr:col>
      <xdr:colOff>260350</xdr:colOff>
      <xdr:row>6</xdr:row>
      <xdr:rowOff>196850</xdr:rowOff>
    </xdr:to>
    <xdr:sp macro="" textlink="">
      <xdr:nvSpPr>
        <xdr:cNvPr id="48" name="왼쪽으로 구부러진 화살표 47"/>
        <xdr:cNvSpPr/>
      </xdr:nvSpPr>
      <xdr:spPr>
        <a:xfrm>
          <a:off x="623570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260350</xdr:colOff>
      <xdr:row>4</xdr:row>
      <xdr:rowOff>196850</xdr:rowOff>
    </xdr:to>
    <xdr:sp macro="" textlink="">
      <xdr:nvSpPr>
        <xdr:cNvPr id="49" name="왼쪽으로 구부러진 화살표 4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9</xdr:col>
      <xdr:colOff>260350</xdr:colOff>
      <xdr:row>8</xdr:row>
      <xdr:rowOff>196850</xdr:rowOff>
    </xdr:to>
    <xdr:sp macro="" textlink="">
      <xdr:nvSpPr>
        <xdr:cNvPr id="50" name="왼쪽으로 구부러진 화살표 49"/>
        <xdr:cNvSpPr/>
      </xdr:nvSpPr>
      <xdr:spPr>
        <a:xfrm>
          <a:off x="623570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9</xdr:col>
      <xdr:colOff>260350</xdr:colOff>
      <xdr:row>10</xdr:row>
      <xdr:rowOff>196850</xdr:rowOff>
    </xdr:to>
    <xdr:sp macro="" textlink="">
      <xdr:nvSpPr>
        <xdr:cNvPr id="51" name="왼쪽으로 구부러진 화살표 50"/>
        <xdr:cNvSpPr/>
      </xdr:nvSpPr>
      <xdr:spPr>
        <a:xfrm>
          <a:off x="623570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304800</xdr:colOff>
      <xdr:row>6</xdr:row>
      <xdr:rowOff>6350</xdr:rowOff>
    </xdr:to>
    <xdr:sp macro="" textlink="">
      <xdr:nvSpPr>
        <xdr:cNvPr id="57" name="오른쪽으로 구부러진 화살표 56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3</xdr:col>
      <xdr:colOff>304800</xdr:colOff>
      <xdr:row>8</xdr:row>
      <xdr:rowOff>6350</xdr:rowOff>
    </xdr:to>
    <xdr:sp macro="" textlink="">
      <xdr:nvSpPr>
        <xdr:cNvPr id="58" name="오른쪽으로 구부러진 화살표 57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304800</xdr:colOff>
      <xdr:row>10</xdr:row>
      <xdr:rowOff>6350</xdr:rowOff>
    </xdr:to>
    <xdr:sp macro="" textlink="">
      <xdr:nvSpPr>
        <xdr:cNvPr id="59" name="오른쪽으로 구부러진 화살표 58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3</xdr:col>
      <xdr:colOff>304800</xdr:colOff>
      <xdr:row>15</xdr:row>
      <xdr:rowOff>6350</xdr:rowOff>
    </xdr:to>
    <xdr:sp macro="" textlink="">
      <xdr:nvSpPr>
        <xdr:cNvPr id="63" name="오른쪽으로 구부러진 화살표 62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3</xdr:col>
      <xdr:colOff>304800</xdr:colOff>
      <xdr:row>17</xdr:row>
      <xdr:rowOff>6350</xdr:rowOff>
    </xdr:to>
    <xdr:sp macro="" textlink="">
      <xdr:nvSpPr>
        <xdr:cNvPr id="64" name="오른쪽으로 구부러진 화살표 63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3</xdr:col>
      <xdr:colOff>304800</xdr:colOff>
      <xdr:row>19</xdr:row>
      <xdr:rowOff>6350</xdr:rowOff>
    </xdr:to>
    <xdr:sp macro="" textlink="">
      <xdr:nvSpPr>
        <xdr:cNvPr id="65" name="오른쪽으로 구부러진 화살표 64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3</xdr:col>
      <xdr:colOff>304800</xdr:colOff>
      <xdr:row>24</xdr:row>
      <xdr:rowOff>6350</xdr:rowOff>
    </xdr:to>
    <xdr:sp macro="" textlink="">
      <xdr:nvSpPr>
        <xdr:cNvPr id="258" name="오른쪽으로 구부러진 화살표 257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</xdr:row>
      <xdr:rowOff>0</xdr:rowOff>
    </xdr:from>
    <xdr:to>
      <xdr:col>3</xdr:col>
      <xdr:colOff>304800</xdr:colOff>
      <xdr:row>26</xdr:row>
      <xdr:rowOff>6350</xdr:rowOff>
    </xdr:to>
    <xdr:sp macro="" textlink="">
      <xdr:nvSpPr>
        <xdr:cNvPr id="259" name="오른쪽으로 구부러진 화살표 258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3</xdr:col>
      <xdr:colOff>304800</xdr:colOff>
      <xdr:row>28</xdr:row>
      <xdr:rowOff>6350</xdr:rowOff>
    </xdr:to>
    <xdr:sp macro="" textlink="">
      <xdr:nvSpPr>
        <xdr:cNvPr id="260" name="오른쪽으로 구부러진 화살표 259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</xdr:row>
      <xdr:rowOff>0</xdr:rowOff>
    </xdr:from>
    <xdr:to>
      <xdr:col>3</xdr:col>
      <xdr:colOff>304800</xdr:colOff>
      <xdr:row>33</xdr:row>
      <xdr:rowOff>6350</xdr:rowOff>
    </xdr:to>
    <xdr:sp macro="" textlink="">
      <xdr:nvSpPr>
        <xdr:cNvPr id="261" name="오른쪽으로 구부러진 화살표 260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</xdr:row>
      <xdr:rowOff>0</xdr:rowOff>
    </xdr:from>
    <xdr:to>
      <xdr:col>3</xdr:col>
      <xdr:colOff>304800</xdr:colOff>
      <xdr:row>35</xdr:row>
      <xdr:rowOff>6350</xdr:rowOff>
    </xdr:to>
    <xdr:sp macro="" textlink="">
      <xdr:nvSpPr>
        <xdr:cNvPr id="262" name="오른쪽으로 구부러진 화살표 261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</xdr:row>
      <xdr:rowOff>0</xdr:rowOff>
    </xdr:from>
    <xdr:to>
      <xdr:col>3</xdr:col>
      <xdr:colOff>304800</xdr:colOff>
      <xdr:row>37</xdr:row>
      <xdr:rowOff>6350</xdr:rowOff>
    </xdr:to>
    <xdr:sp macro="" textlink="">
      <xdr:nvSpPr>
        <xdr:cNvPr id="263" name="오른쪽으로 구부러진 화살표 262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</xdr:row>
      <xdr:rowOff>0</xdr:rowOff>
    </xdr:from>
    <xdr:to>
      <xdr:col>3</xdr:col>
      <xdr:colOff>304800</xdr:colOff>
      <xdr:row>42</xdr:row>
      <xdr:rowOff>6350</xdr:rowOff>
    </xdr:to>
    <xdr:sp macro="" textlink="">
      <xdr:nvSpPr>
        <xdr:cNvPr id="264" name="오른쪽으로 구부러진 화살표 263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</xdr:row>
      <xdr:rowOff>0</xdr:rowOff>
    </xdr:from>
    <xdr:to>
      <xdr:col>3</xdr:col>
      <xdr:colOff>304800</xdr:colOff>
      <xdr:row>44</xdr:row>
      <xdr:rowOff>6350</xdr:rowOff>
    </xdr:to>
    <xdr:sp macro="" textlink="">
      <xdr:nvSpPr>
        <xdr:cNvPr id="265" name="오른쪽으로 구부러진 화살표 264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</xdr:row>
      <xdr:rowOff>0</xdr:rowOff>
    </xdr:from>
    <xdr:to>
      <xdr:col>3</xdr:col>
      <xdr:colOff>304800</xdr:colOff>
      <xdr:row>46</xdr:row>
      <xdr:rowOff>6350</xdr:rowOff>
    </xdr:to>
    <xdr:sp macro="" textlink="">
      <xdr:nvSpPr>
        <xdr:cNvPr id="266" name="오른쪽으로 구부러진 화살표 265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</xdr:row>
      <xdr:rowOff>0</xdr:rowOff>
    </xdr:from>
    <xdr:to>
      <xdr:col>3</xdr:col>
      <xdr:colOff>304800</xdr:colOff>
      <xdr:row>51</xdr:row>
      <xdr:rowOff>6350</xdr:rowOff>
    </xdr:to>
    <xdr:sp macro="" textlink="">
      <xdr:nvSpPr>
        <xdr:cNvPr id="267" name="오른쪽으로 구부러진 화살표 266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</xdr:row>
      <xdr:rowOff>0</xdr:rowOff>
    </xdr:from>
    <xdr:to>
      <xdr:col>3</xdr:col>
      <xdr:colOff>304800</xdr:colOff>
      <xdr:row>53</xdr:row>
      <xdr:rowOff>6350</xdr:rowOff>
    </xdr:to>
    <xdr:sp macro="" textlink="">
      <xdr:nvSpPr>
        <xdr:cNvPr id="268" name="오른쪽으로 구부러진 화살표 267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</xdr:row>
      <xdr:rowOff>0</xdr:rowOff>
    </xdr:from>
    <xdr:to>
      <xdr:col>3</xdr:col>
      <xdr:colOff>304800</xdr:colOff>
      <xdr:row>55</xdr:row>
      <xdr:rowOff>6350</xdr:rowOff>
    </xdr:to>
    <xdr:sp macro="" textlink="">
      <xdr:nvSpPr>
        <xdr:cNvPr id="269" name="오른쪽으로 구부러진 화살표 268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</xdr:row>
      <xdr:rowOff>0</xdr:rowOff>
    </xdr:from>
    <xdr:to>
      <xdr:col>3</xdr:col>
      <xdr:colOff>304800</xdr:colOff>
      <xdr:row>60</xdr:row>
      <xdr:rowOff>6350</xdr:rowOff>
    </xdr:to>
    <xdr:sp macro="" textlink="">
      <xdr:nvSpPr>
        <xdr:cNvPr id="270" name="오른쪽으로 구부러진 화살표 269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</xdr:row>
      <xdr:rowOff>0</xdr:rowOff>
    </xdr:from>
    <xdr:to>
      <xdr:col>3</xdr:col>
      <xdr:colOff>304800</xdr:colOff>
      <xdr:row>62</xdr:row>
      <xdr:rowOff>6350</xdr:rowOff>
    </xdr:to>
    <xdr:sp macro="" textlink="">
      <xdr:nvSpPr>
        <xdr:cNvPr id="271" name="오른쪽으로 구부러진 화살표 270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</xdr:row>
      <xdr:rowOff>0</xdr:rowOff>
    </xdr:from>
    <xdr:to>
      <xdr:col>3</xdr:col>
      <xdr:colOff>304800</xdr:colOff>
      <xdr:row>64</xdr:row>
      <xdr:rowOff>6350</xdr:rowOff>
    </xdr:to>
    <xdr:sp macro="" textlink="">
      <xdr:nvSpPr>
        <xdr:cNvPr id="272" name="오른쪽으로 구부러진 화살표 271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</xdr:row>
      <xdr:rowOff>0</xdr:rowOff>
    </xdr:from>
    <xdr:to>
      <xdr:col>3</xdr:col>
      <xdr:colOff>304800</xdr:colOff>
      <xdr:row>69</xdr:row>
      <xdr:rowOff>6350</xdr:rowOff>
    </xdr:to>
    <xdr:sp macro="" textlink="">
      <xdr:nvSpPr>
        <xdr:cNvPr id="273" name="오른쪽으로 구부러진 화살표 272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</xdr:row>
      <xdr:rowOff>0</xdr:rowOff>
    </xdr:from>
    <xdr:to>
      <xdr:col>3</xdr:col>
      <xdr:colOff>304800</xdr:colOff>
      <xdr:row>71</xdr:row>
      <xdr:rowOff>6350</xdr:rowOff>
    </xdr:to>
    <xdr:sp macro="" textlink="">
      <xdr:nvSpPr>
        <xdr:cNvPr id="274" name="오른쪽으로 구부러진 화살표 273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</xdr:row>
      <xdr:rowOff>0</xdr:rowOff>
    </xdr:from>
    <xdr:to>
      <xdr:col>3</xdr:col>
      <xdr:colOff>304800</xdr:colOff>
      <xdr:row>73</xdr:row>
      <xdr:rowOff>6350</xdr:rowOff>
    </xdr:to>
    <xdr:sp macro="" textlink="">
      <xdr:nvSpPr>
        <xdr:cNvPr id="275" name="오른쪽으로 구부러진 화살표 274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</xdr:row>
      <xdr:rowOff>0</xdr:rowOff>
    </xdr:from>
    <xdr:to>
      <xdr:col>3</xdr:col>
      <xdr:colOff>304800</xdr:colOff>
      <xdr:row>78</xdr:row>
      <xdr:rowOff>6350</xdr:rowOff>
    </xdr:to>
    <xdr:sp macro="" textlink="">
      <xdr:nvSpPr>
        <xdr:cNvPr id="276" name="오른쪽으로 구부러진 화살표 275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</xdr:row>
      <xdr:rowOff>0</xdr:rowOff>
    </xdr:from>
    <xdr:to>
      <xdr:col>3</xdr:col>
      <xdr:colOff>304800</xdr:colOff>
      <xdr:row>80</xdr:row>
      <xdr:rowOff>6350</xdr:rowOff>
    </xdr:to>
    <xdr:sp macro="" textlink="">
      <xdr:nvSpPr>
        <xdr:cNvPr id="277" name="오른쪽으로 구부러진 화살표 276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</xdr:row>
      <xdr:rowOff>0</xdr:rowOff>
    </xdr:from>
    <xdr:to>
      <xdr:col>3</xdr:col>
      <xdr:colOff>304800</xdr:colOff>
      <xdr:row>82</xdr:row>
      <xdr:rowOff>6350</xdr:rowOff>
    </xdr:to>
    <xdr:sp macro="" textlink="">
      <xdr:nvSpPr>
        <xdr:cNvPr id="278" name="오른쪽으로 구부러진 화살표 277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</xdr:row>
      <xdr:rowOff>0</xdr:rowOff>
    </xdr:from>
    <xdr:to>
      <xdr:col>3</xdr:col>
      <xdr:colOff>304800</xdr:colOff>
      <xdr:row>87</xdr:row>
      <xdr:rowOff>6350</xdr:rowOff>
    </xdr:to>
    <xdr:sp macro="" textlink="">
      <xdr:nvSpPr>
        <xdr:cNvPr id="279" name="오른쪽으로 구부러진 화살표 278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</xdr:row>
      <xdr:rowOff>0</xdr:rowOff>
    </xdr:from>
    <xdr:to>
      <xdr:col>3</xdr:col>
      <xdr:colOff>304800</xdr:colOff>
      <xdr:row>89</xdr:row>
      <xdr:rowOff>6350</xdr:rowOff>
    </xdr:to>
    <xdr:sp macro="" textlink="">
      <xdr:nvSpPr>
        <xdr:cNvPr id="280" name="오른쪽으로 구부러진 화살표 279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</xdr:row>
      <xdr:rowOff>0</xdr:rowOff>
    </xdr:from>
    <xdr:to>
      <xdr:col>3</xdr:col>
      <xdr:colOff>304800</xdr:colOff>
      <xdr:row>91</xdr:row>
      <xdr:rowOff>6350</xdr:rowOff>
    </xdr:to>
    <xdr:sp macro="" textlink="">
      <xdr:nvSpPr>
        <xdr:cNvPr id="281" name="오른쪽으로 구부러진 화살표 280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3</xdr:col>
      <xdr:colOff>304800</xdr:colOff>
      <xdr:row>96</xdr:row>
      <xdr:rowOff>6350</xdr:rowOff>
    </xdr:to>
    <xdr:sp macro="" textlink="">
      <xdr:nvSpPr>
        <xdr:cNvPr id="282" name="오른쪽으로 구부러진 화살표 281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96</xdr:row>
      <xdr:rowOff>0</xdr:rowOff>
    </xdr:from>
    <xdr:to>
      <xdr:col>3</xdr:col>
      <xdr:colOff>304800</xdr:colOff>
      <xdr:row>98</xdr:row>
      <xdr:rowOff>6350</xdr:rowOff>
    </xdr:to>
    <xdr:sp macro="" textlink="">
      <xdr:nvSpPr>
        <xdr:cNvPr id="283" name="오른쪽으로 구부러진 화살표 282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98</xdr:row>
      <xdr:rowOff>0</xdr:rowOff>
    </xdr:from>
    <xdr:to>
      <xdr:col>3</xdr:col>
      <xdr:colOff>304800</xdr:colOff>
      <xdr:row>100</xdr:row>
      <xdr:rowOff>6350</xdr:rowOff>
    </xdr:to>
    <xdr:sp macro="" textlink="">
      <xdr:nvSpPr>
        <xdr:cNvPr id="284" name="오른쪽으로 구부러진 화살표 283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103</xdr:row>
      <xdr:rowOff>0</xdr:rowOff>
    </xdr:from>
    <xdr:to>
      <xdr:col>3</xdr:col>
      <xdr:colOff>304800</xdr:colOff>
      <xdr:row>105</xdr:row>
      <xdr:rowOff>6350</xdr:rowOff>
    </xdr:to>
    <xdr:sp macro="" textlink="">
      <xdr:nvSpPr>
        <xdr:cNvPr id="285" name="오른쪽으로 구부러진 화살표 284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105</xdr:row>
      <xdr:rowOff>0</xdr:rowOff>
    </xdr:from>
    <xdr:to>
      <xdr:col>3</xdr:col>
      <xdr:colOff>304800</xdr:colOff>
      <xdr:row>107</xdr:row>
      <xdr:rowOff>6350</xdr:rowOff>
    </xdr:to>
    <xdr:sp macro="" textlink="">
      <xdr:nvSpPr>
        <xdr:cNvPr id="286" name="오른쪽으로 구부러진 화살표 285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107</xdr:row>
      <xdr:rowOff>0</xdr:rowOff>
    </xdr:from>
    <xdr:to>
      <xdr:col>3</xdr:col>
      <xdr:colOff>304800</xdr:colOff>
      <xdr:row>109</xdr:row>
      <xdr:rowOff>6350</xdr:rowOff>
    </xdr:to>
    <xdr:sp macro="" textlink="">
      <xdr:nvSpPr>
        <xdr:cNvPr id="287" name="오른쪽으로 구부러진 화살표 286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112</xdr:row>
      <xdr:rowOff>0</xdr:rowOff>
    </xdr:from>
    <xdr:to>
      <xdr:col>3</xdr:col>
      <xdr:colOff>304800</xdr:colOff>
      <xdr:row>114</xdr:row>
      <xdr:rowOff>6350</xdr:rowOff>
    </xdr:to>
    <xdr:sp macro="" textlink="">
      <xdr:nvSpPr>
        <xdr:cNvPr id="288" name="오른쪽으로 구부러진 화살표 287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114</xdr:row>
      <xdr:rowOff>0</xdr:rowOff>
    </xdr:from>
    <xdr:to>
      <xdr:col>3</xdr:col>
      <xdr:colOff>304800</xdr:colOff>
      <xdr:row>116</xdr:row>
      <xdr:rowOff>6350</xdr:rowOff>
    </xdr:to>
    <xdr:sp macro="" textlink="">
      <xdr:nvSpPr>
        <xdr:cNvPr id="289" name="오른쪽으로 구부러진 화살표 288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116</xdr:row>
      <xdr:rowOff>0</xdr:rowOff>
    </xdr:from>
    <xdr:to>
      <xdr:col>3</xdr:col>
      <xdr:colOff>304800</xdr:colOff>
      <xdr:row>118</xdr:row>
      <xdr:rowOff>6350</xdr:rowOff>
    </xdr:to>
    <xdr:sp macro="" textlink="">
      <xdr:nvSpPr>
        <xdr:cNvPr id="290" name="오른쪽으로 구부러진 화살표 289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121</xdr:row>
      <xdr:rowOff>0</xdr:rowOff>
    </xdr:from>
    <xdr:to>
      <xdr:col>3</xdr:col>
      <xdr:colOff>304800</xdr:colOff>
      <xdr:row>123</xdr:row>
      <xdr:rowOff>6350</xdr:rowOff>
    </xdr:to>
    <xdr:sp macro="" textlink="">
      <xdr:nvSpPr>
        <xdr:cNvPr id="291" name="오른쪽으로 구부러진 화살표 290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123</xdr:row>
      <xdr:rowOff>0</xdr:rowOff>
    </xdr:from>
    <xdr:to>
      <xdr:col>3</xdr:col>
      <xdr:colOff>304800</xdr:colOff>
      <xdr:row>125</xdr:row>
      <xdr:rowOff>6350</xdr:rowOff>
    </xdr:to>
    <xdr:sp macro="" textlink="">
      <xdr:nvSpPr>
        <xdr:cNvPr id="292" name="오른쪽으로 구부러진 화살표 291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125</xdr:row>
      <xdr:rowOff>0</xdr:rowOff>
    </xdr:from>
    <xdr:to>
      <xdr:col>3</xdr:col>
      <xdr:colOff>304800</xdr:colOff>
      <xdr:row>127</xdr:row>
      <xdr:rowOff>6350</xdr:rowOff>
    </xdr:to>
    <xdr:sp macro="" textlink="">
      <xdr:nvSpPr>
        <xdr:cNvPr id="293" name="오른쪽으로 구부러진 화살표 292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130</xdr:row>
      <xdr:rowOff>0</xdr:rowOff>
    </xdr:from>
    <xdr:to>
      <xdr:col>3</xdr:col>
      <xdr:colOff>304800</xdr:colOff>
      <xdr:row>132</xdr:row>
      <xdr:rowOff>6350</xdr:rowOff>
    </xdr:to>
    <xdr:sp macro="" textlink="">
      <xdr:nvSpPr>
        <xdr:cNvPr id="294" name="오른쪽으로 구부러진 화살표 293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3</xdr:col>
      <xdr:colOff>304800</xdr:colOff>
      <xdr:row>134</xdr:row>
      <xdr:rowOff>6350</xdr:rowOff>
    </xdr:to>
    <xdr:sp macro="" textlink="">
      <xdr:nvSpPr>
        <xdr:cNvPr id="295" name="오른쪽으로 구부러진 화살표 294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134</xdr:row>
      <xdr:rowOff>0</xdr:rowOff>
    </xdr:from>
    <xdr:to>
      <xdr:col>3</xdr:col>
      <xdr:colOff>304800</xdr:colOff>
      <xdr:row>136</xdr:row>
      <xdr:rowOff>6350</xdr:rowOff>
    </xdr:to>
    <xdr:sp macro="" textlink="">
      <xdr:nvSpPr>
        <xdr:cNvPr id="296" name="오른쪽으로 구부러진 화살표 295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139</xdr:row>
      <xdr:rowOff>0</xdr:rowOff>
    </xdr:from>
    <xdr:to>
      <xdr:col>3</xdr:col>
      <xdr:colOff>304800</xdr:colOff>
      <xdr:row>141</xdr:row>
      <xdr:rowOff>6350</xdr:rowOff>
    </xdr:to>
    <xdr:sp macro="" textlink="">
      <xdr:nvSpPr>
        <xdr:cNvPr id="297" name="오른쪽으로 구부러진 화살표 296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141</xdr:row>
      <xdr:rowOff>0</xdr:rowOff>
    </xdr:from>
    <xdr:to>
      <xdr:col>3</xdr:col>
      <xdr:colOff>304800</xdr:colOff>
      <xdr:row>143</xdr:row>
      <xdr:rowOff>6350</xdr:rowOff>
    </xdr:to>
    <xdr:sp macro="" textlink="">
      <xdr:nvSpPr>
        <xdr:cNvPr id="298" name="오른쪽으로 구부러진 화살표 297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143</xdr:row>
      <xdr:rowOff>0</xdr:rowOff>
    </xdr:from>
    <xdr:to>
      <xdr:col>3</xdr:col>
      <xdr:colOff>304800</xdr:colOff>
      <xdr:row>145</xdr:row>
      <xdr:rowOff>6350</xdr:rowOff>
    </xdr:to>
    <xdr:sp macro="" textlink="">
      <xdr:nvSpPr>
        <xdr:cNvPr id="299" name="오른쪽으로 구부러진 화살표 298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148</xdr:row>
      <xdr:rowOff>0</xdr:rowOff>
    </xdr:from>
    <xdr:to>
      <xdr:col>3</xdr:col>
      <xdr:colOff>304800</xdr:colOff>
      <xdr:row>150</xdr:row>
      <xdr:rowOff>6350</xdr:rowOff>
    </xdr:to>
    <xdr:sp macro="" textlink="">
      <xdr:nvSpPr>
        <xdr:cNvPr id="300" name="오른쪽으로 구부러진 화살표 299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150</xdr:row>
      <xdr:rowOff>0</xdr:rowOff>
    </xdr:from>
    <xdr:to>
      <xdr:col>3</xdr:col>
      <xdr:colOff>304800</xdr:colOff>
      <xdr:row>152</xdr:row>
      <xdr:rowOff>6350</xdr:rowOff>
    </xdr:to>
    <xdr:sp macro="" textlink="">
      <xdr:nvSpPr>
        <xdr:cNvPr id="301" name="오른쪽으로 구부러진 화살표 300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152</xdr:row>
      <xdr:rowOff>0</xdr:rowOff>
    </xdr:from>
    <xdr:to>
      <xdr:col>3</xdr:col>
      <xdr:colOff>304800</xdr:colOff>
      <xdr:row>154</xdr:row>
      <xdr:rowOff>6350</xdr:rowOff>
    </xdr:to>
    <xdr:sp macro="" textlink="">
      <xdr:nvSpPr>
        <xdr:cNvPr id="302" name="오른쪽으로 구부러진 화살표 301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157</xdr:row>
      <xdr:rowOff>0</xdr:rowOff>
    </xdr:from>
    <xdr:to>
      <xdr:col>3</xdr:col>
      <xdr:colOff>304800</xdr:colOff>
      <xdr:row>159</xdr:row>
      <xdr:rowOff>6350</xdr:rowOff>
    </xdr:to>
    <xdr:sp macro="" textlink="">
      <xdr:nvSpPr>
        <xdr:cNvPr id="303" name="오른쪽으로 구부러진 화살표 302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159</xdr:row>
      <xdr:rowOff>0</xdr:rowOff>
    </xdr:from>
    <xdr:to>
      <xdr:col>3</xdr:col>
      <xdr:colOff>304800</xdr:colOff>
      <xdr:row>161</xdr:row>
      <xdr:rowOff>6350</xdr:rowOff>
    </xdr:to>
    <xdr:sp macro="" textlink="">
      <xdr:nvSpPr>
        <xdr:cNvPr id="304" name="오른쪽으로 구부러진 화살표 303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161</xdr:row>
      <xdr:rowOff>0</xdr:rowOff>
    </xdr:from>
    <xdr:to>
      <xdr:col>3</xdr:col>
      <xdr:colOff>304800</xdr:colOff>
      <xdr:row>163</xdr:row>
      <xdr:rowOff>6350</xdr:rowOff>
    </xdr:to>
    <xdr:sp macro="" textlink="">
      <xdr:nvSpPr>
        <xdr:cNvPr id="305" name="오른쪽으로 구부러진 화살표 304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166</xdr:row>
      <xdr:rowOff>0</xdr:rowOff>
    </xdr:from>
    <xdr:to>
      <xdr:col>3</xdr:col>
      <xdr:colOff>304800</xdr:colOff>
      <xdr:row>168</xdr:row>
      <xdr:rowOff>6350</xdr:rowOff>
    </xdr:to>
    <xdr:sp macro="" textlink="">
      <xdr:nvSpPr>
        <xdr:cNvPr id="306" name="오른쪽으로 구부러진 화살표 305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168</xdr:row>
      <xdr:rowOff>0</xdr:rowOff>
    </xdr:from>
    <xdr:to>
      <xdr:col>3</xdr:col>
      <xdr:colOff>304800</xdr:colOff>
      <xdr:row>170</xdr:row>
      <xdr:rowOff>6350</xdr:rowOff>
    </xdr:to>
    <xdr:sp macro="" textlink="">
      <xdr:nvSpPr>
        <xdr:cNvPr id="307" name="오른쪽으로 구부러진 화살표 306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170</xdr:row>
      <xdr:rowOff>0</xdr:rowOff>
    </xdr:from>
    <xdr:to>
      <xdr:col>3</xdr:col>
      <xdr:colOff>304800</xdr:colOff>
      <xdr:row>172</xdr:row>
      <xdr:rowOff>6350</xdr:rowOff>
    </xdr:to>
    <xdr:sp macro="" textlink="">
      <xdr:nvSpPr>
        <xdr:cNvPr id="308" name="오른쪽으로 구부러진 화살표 307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175</xdr:row>
      <xdr:rowOff>0</xdr:rowOff>
    </xdr:from>
    <xdr:to>
      <xdr:col>3</xdr:col>
      <xdr:colOff>304800</xdr:colOff>
      <xdr:row>177</xdr:row>
      <xdr:rowOff>6350</xdr:rowOff>
    </xdr:to>
    <xdr:sp macro="" textlink="">
      <xdr:nvSpPr>
        <xdr:cNvPr id="309" name="오른쪽으로 구부러진 화살표 308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177</xdr:row>
      <xdr:rowOff>0</xdr:rowOff>
    </xdr:from>
    <xdr:to>
      <xdr:col>3</xdr:col>
      <xdr:colOff>304800</xdr:colOff>
      <xdr:row>179</xdr:row>
      <xdr:rowOff>6350</xdr:rowOff>
    </xdr:to>
    <xdr:sp macro="" textlink="">
      <xdr:nvSpPr>
        <xdr:cNvPr id="310" name="오른쪽으로 구부러진 화살표 309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179</xdr:row>
      <xdr:rowOff>0</xdr:rowOff>
    </xdr:from>
    <xdr:to>
      <xdr:col>3</xdr:col>
      <xdr:colOff>304800</xdr:colOff>
      <xdr:row>181</xdr:row>
      <xdr:rowOff>6350</xdr:rowOff>
    </xdr:to>
    <xdr:sp macro="" textlink="">
      <xdr:nvSpPr>
        <xdr:cNvPr id="311" name="오른쪽으로 구부러진 화살표 310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184</xdr:row>
      <xdr:rowOff>0</xdr:rowOff>
    </xdr:from>
    <xdr:to>
      <xdr:col>3</xdr:col>
      <xdr:colOff>304800</xdr:colOff>
      <xdr:row>186</xdr:row>
      <xdr:rowOff>6350</xdr:rowOff>
    </xdr:to>
    <xdr:sp macro="" textlink="">
      <xdr:nvSpPr>
        <xdr:cNvPr id="312" name="오른쪽으로 구부러진 화살표 311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186</xdr:row>
      <xdr:rowOff>0</xdr:rowOff>
    </xdr:from>
    <xdr:to>
      <xdr:col>3</xdr:col>
      <xdr:colOff>304800</xdr:colOff>
      <xdr:row>188</xdr:row>
      <xdr:rowOff>6350</xdr:rowOff>
    </xdr:to>
    <xdr:sp macro="" textlink="">
      <xdr:nvSpPr>
        <xdr:cNvPr id="313" name="오른쪽으로 구부러진 화살표 312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188</xdr:row>
      <xdr:rowOff>0</xdr:rowOff>
    </xdr:from>
    <xdr:to>
      <xdr:col>3</xdr:col>
      <xdr:colOff>304800</xdr:colOff>
      <xdr:row>190</xdr:row>
      <xdr:rowOff>6350</xdr:rowOff>
    </xdr:to>
    <xdr:sp macro="" textlink="">
      <xdr:nvSpPr>
        <xdr:cNvPr id="314" name="오른쪽으로 구부러진 화살표 313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193</xdr:row>
      <xdr:rowOff>0</xdr:rowOff>
    </xdr:from>
    <xdr:to>
      <xdr:col>3</xdr:col>
      <xdr:colOff>304800</xdr:colOff>
      <xdr:row>195</xdr:row>
      <xdr:rowOff>6350</xdr:rowOff>
    </xdr:to>
    <xdr:sp macro="" textlink="">
      <xdr:nvSpPr>
        <xdr:cNvPr id="315" name="오른쪽으로 구부러진 화살표 314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195</xdr:row>
      <xdr:rowOff>0</xdr:rowOff>
    </xdr:from>
    <xdr:to>
      <xdr:col>3</xdr:col>
      <xdr:colOff>304800</xdr:colOff>
      <xdr:row>197</xdr:row>
      <xdr:rowOff>6350</xdr:rowOff>
    </xdr:to>
    <xdr:sp macro="" textlink="">
      <xdr:nvSpPr>
        <xdr:cNvPr id="316" name="오른쪽으로 구부러진 화살표 315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197</xdr:row>
      <xdr:rowOff>0</xdr:rowOff>
    </xdr:from>
    <xdr:to>
      <xdr:col>3</xdr:col>
      <xdr:colOff>304800</xdr:colOff>
      <xdr:row>199</xdr:row>
      <xdr:rowOff>6350</xdr:rowOff>
    </xdr:to>
    <xdr:sp macro="" textlink="">
      <xdr:nvSpPr>
        <xdr:cNvPr id="317" name="오른쪽으로 구부러진 화살표 316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202</xdr:row>
      <xdr:rowOff>0</xdr:rowOff>
    </xdr:from>
    <xdr:to>
      <xdr:col>3</xdr:col>
      <xdr:colOff>304800</xdr:colOff>
      <xdr:row>204</xdr:row>
      <xdr:rowOff>6350</xdr:rowOff>
    </xdr:to>
    <xdr:sp macro="" textlink="">
      <xdr:nvSpPr>
        <xdr:cNvPr id="318" name="오른쪽으로 구부러진 화살표 317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204</xdr:row>
      <xdr:rowOff>0</xdr:rowOff>
    </xdr:from>
    <xdr:to>
      <xdr:col>3</xdr:col>
      <xdr:colOff>304800</xdr:colOff>
      <xdr:row>206</xdr:row>
      <xdr:rowOff>6350</xdr:rowOff>
    </xdr:to>
    <xdr:sp macro="" textlink="">
      <xdr:nvSpPr>
        <xdr:cNvPr id="319" name="오른쪽으로 구부러진 화살표 318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206</xdr:row>
      <xdr:rowOff>0</xdr:rowOff>
    </xdr:from>
    <xdr:to>
      <xdr:col>3</xdr:col>
      <xdr:colOff>304800</xdr:colOff>
      <xdr:row>208</xdr:row>
      <xdr:rowOff>6350</xdr:rowOff>
    </xdr:to>
    <xdr:sp macro="" textlink="">
      <xdr:nvSpPr>
        <xdr:cNvPr id="320" name="오른쪽으로 구부러진 화살표 319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211</xdr:row>
      <xdr:rowOff>0</xdr:rowOff>
    </xdr:from>
    <xdr:to>
      <xdr:col>3</xdr:col>
      <xdr:colOff>304800</xdr:colOff>
      <xdr:row>213</xdr:row>
      <xdr:rowOff>6350</xdr:rowOff>
    </xdr:to>
    <xdr:sp macro="" textlink="">
      <xdr:nvSpPr>
        <xdr:cNvPr id="321" name="오른쪽으로 구부러진 화살표 320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213</xdr:row>
      <xdr:rowOff>0</xdr:rowOff>
    </xdr:from>
    <xdr:to>
      <xdr:col>3</xdr:col>
      <xdr:colOff>304800</xdr:colOff>
      <xdr:row>215</xdr:row>
      <xdr:rowOff>6350</xdr:rowOff>
    </xdr:to>
    <xdr:sp macro="" textlink="">
      <xdr:nvSpPr>
        <xdr:cNvPr id="322" name="오른쪽으로 구부러진 화살표 321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215</xdr:row>
      <xdr:rowOff>0</xdr:rowOff>
    </xdr:from>
    <xdr:to>
      <xdr:col>3</xdr:col>
      <xdr:colOff>304800</xdr:colOff>
      <xdr:row>217</xdr:row>
      <xdr:rowOff>6350</xdr:rowOff>
    </xdr:to>
    <xdr:sp macro="" textlink="">
      <xdr:nvSpPr>
        <xdr:cNvPr id="323" name="오른쪽으로 구부러진 화살표 322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220</xdr:row>
      <xdr:rowOff>0</xdr:rowOff>
    </xdr:from>
    <xdr:to>
      <xdr:col>3</xdr:col>
      <xdr:colOff>304800</xdr:colOff>
      <xdr:row>222</xdr:row>
      <xdr:rowOff>6350</xdr:rowOff>
    </xdr:to>
    <xdr:sp macro="" textlink="">
      <xdr:nvSpPr>
        <xdr:cNvPr id="324" name="오른쪽으로 구부러진 화살표 323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222</xdr:row>
      <xdr:rowOff>0</xdr:rowOff>
    </xdr:from>
    <xdr:to>
      <xdr:col>3</xdr:col>
      <xdr:colOff>304800</xdr:colOff>
      <xdr:row>224</xdr:row>
      <xdr:rowOff>6350</xdr:rowOff>
    </xdr:to>
    <xdr:sp macro="" textlink="">
      <xdr:nvSpPr>
        <xdr:cNvPr id="325" name="오른쪽으로 구부러진 화살표 324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224</xdr:row>
      <xdr:rowOff>0</xdr:rowOff>
    </xdr:from>
    <xdr:to>
      <xdr:col>3</xdr:col>
      <xdr:colOff>304800</xdr:colOff>
      <xdr:row>226</xdr:row>
      <xdr:rowOff>6350</xdr:rowOff>
    </xdr:to>
    <xdr:sp macro="" textlink="">
      <xdr:nvSpPr>
        <xdr:cNvPr id="326" name="오른쪽으로 구부러진 화살표 325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229</xdr:row>
      <xdr:rowOff>0</xdr:rowOff>
    </xdr:from>
    <xdr:to>
      <xdr:col>3</xdr:col>
      <xdr:colOff>304800</xdr:colOff>
      <xdr:row>231</xdr:row>
      <xdr:rowOff>6350</xdr:rowOff>
    </xdr:to>
    <xdr:sp macro="" textlink="">
      <xdr:nvSpPr>
        <xdr:cNvPr id="327" name="오른쪽으로 구부러진 화살표 326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231</xdr:row>
      <xdr:rowOff>0</xdr:rowOff>
    </xdr:from>
    <xdr:to>
      <xdr:col>3</xdr:col>
      <xdr:colOff>304800</xdr:colOff>
      <xdr:row>233</xdr:row>
      <xdr:rowOff>6350</xdr:rowOff>
    </xdr:to>
    <xdr:sp macro="" textlink="">
      <xdr:nvSpPr>
        <xdr:cNvPr id="328" name="오른쪽으로 구부러진 화살표 327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233</xdr:row>
      <xdr:rowOff>0</xdr:rowOff>
    </xdr:from>
    <xdr:to>
      <xdr:col>3</xdr:col>
      <xdr:colOff>304800</xdr:colOff>
      <xdr:row>235</xdr:row>
      <xdr:rowOff>6350</xdr:rowOff>
    </xdr:to>
    <xdr:sp macro="" textlink="">
      <xdr:nvSpPr>
        <xdr:cNvPr id="329" name="오른쪽으로 구부러진 화살표 328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238</xdr:row>
      <xdr:rowOff>0</xdr:rowOff>
    </xdr:from>
    <xdr:to>
      <xdr:col>3</xdr:col>
      <xdr:colOff>304800</xdr:colOff>
      <xdr:row>240</xdr:row>
      <xdr:rowOff>6350</xdr:rowOff>
    </xdr:to>
    <xdr:sp macro="" textlink="">
      <xdr:nvSpPr>
        <xdr:cNvPr id="330" name="오른쪽으로 구부러진 화살표 329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240</xdr:row>
      <xdr:rowOff>0</xdr:rowOff>
    </xdr:from>
    <xdr:to>
      <xdr:col>3</xdr:col>
      <xdr:colOff>304800</xdr:colOff>
      <xdr:row>242</xdr:row>
      <xdr:rowOff>6350</xdr:rowOff>
    </xdr:to>
    <xdr:sp macro="" textlink="">
      <xdr:nvSpPr>
        <xdr:cNvPr id="331" name="오른쪽으로 구부러진 화살표 330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242</xdr:row>
      <xdr:rowOff>0</xdr:rowOff>
    </xdr:from>
    <xdr:to>
      <xdr:col>3</xdr:col>
      <xdr:colOff>304800</xdr:colOff>
      <xdr:row>244</xdr:row>
      <xdr:rowOff>6350</xdr:rowOff>
    </xdr:to>
    <xdr:sp macro="" textlink="">
      <xdr:nvSpPr>
        <xdr:cNvPr id="332" name="오른쪽으로 구부러진 화살표 331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247</xdr:row>
      <xdr:rowOff>0</xdr:rowOff>
    </xdr:from>
    <xdr:to>
      <xdr:col>3</xdr:col>
      <xdr:colOff>304800</xdr:colOff>
      <xdr:row>249</xdr:row>
      <xdr:rowOff>6350</xdr:rowOff>
    </xdr:to>
    <xdr:sp macro="" textlink="">
      <xdr:nvSpPr>
        <xdr:cNvPr id="333" name="오른쪽으로 구부러진 화살표 332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249</xdr:row>
      <xdr:rowOff>0</xdr:rowOff>
    </xdr:from>
    <xdr:to>
      <xdr:col>3</xdr:col>
      <xdr:colOff>304800</xdr:colOff>
      <xdr:row>251</xdr:row>
      <xdr:rowOff>6350</xdr:rowOff>
    </xdr:to>
    <xdr:sp macro="" textlink="">
      <xdr:nvSpPr>
        <xdr:cNvPr id="334" name="오른쪽으로 구부러진 화살표 333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251</xdr:row>
      <xdr:rowOff>0</xdr:rowOff>
    </xdr:from>
    <xdr:to>
      <xdr:col>3</xdr:col>
      <xdr:colOff>304800</xdr:colOff>
      <xdr:row>253</xdr:row>
      <xdr:rowOff>6350</xdr:rowOff>
    </xdr:to>
    <xdr:sp macro="" textlink="">
      <xdr:nvSpPr>
        <xdr:cNvPr id="335" name="오른쪽으로 구부러진 화살표 334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256</xdr:row>
      <xdr:rowOff>0</xdr:rowOff>
    </xdr:from>
    <xdr:to>
      <xdr:col>3</xdr:col>
      <xdr:colOff>304800</xdr:colOff>
      <xdr:row>258</xdr:row>
      <xdr:rowOff>6350</xdr:rowOff>
    </xdr:to>
    <xdr:sp macro="" textlink="">
      <xdr:nvSpPr>
        <xdr:cNvPr id="336" name="오른쪽으로 구부러진 화살표 335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258</xdr:row>
      <xdr:rowOff>0</xdr:rowOff>
    </xdr:from>
    <xdr:to>
      <xdr:col>3</xdr:col>
      <xdr:colOff>304800</xdr:colOff>
      <xdr:row>260</xdr:row>
      <xdr:rowOff>6350</xdr:rowOff>
    </xdr:to>
    <xdr:sp macro="" textlink="">
      <xdr:nvSpPr>
        <xdr:cNvPr id="337" name="오른쪽으로 구부러진 화살표 336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260</xdr:row>
      <xdr:rowOff>0</xdr:rowOff>
    </xdr:from>
    <xdr:to>
      <xdr:col>3</xdr:col>
      <xdr:colOff>304800</xdr:colOff>
      <xdr:row>262</xdr:row>
      <xdr:rowOff>6350</xdr:rowOff>
    </xdr:to>
    <xdr:sp macro="" textlink="">
      <xdr:nvSpPr>
        <xdr:cNvPr id="338" name="오른쪽으로 구부러진 화살표 337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265</xdr:row>
      <xdr:rowOff>0</xdr:rowOff>
    </xdr:from>
    <xdr:to>
      <xdr:col>3</xdr:col>
      <xdr:colOff>304800</xdr:colOff>
      <xdr:row>267</xdr:row>
      <xdr:rowOff>6350</xdr:rowOff>
    </xdr:to>
    <xdr:sp macro="" textlink="">
      <xdr:nvSpPr>
        <xdr:cNvPr id="339" name="오른쪽으로 구부러진 화살표 338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267</xdr:row>
      <xdr:rowOff>0</xdr:rowOff>
    </xdr:from>
    <xdr:to>
      <xdr:col>3</xdr:col>
      <xdr:colOff>304800</xdr:colOff>
      <xdr:row>269</xdr:row>
      <xdr:rowOff>6350</xdr:rowOff>
    </xdr:to>
    <xdr:sp macro="" textlink="">
      <xdr:nvSpPr>
        <xdr:cNvPr id="340" name="오른쪽으로 구부러진 화살표 339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269</xdr:row>
      <xdr:rowOff>0</xdr:rowOff>
    </xdr:from>
    <xdr:to>
      <xdr:col>3</xdr:col>
      <xdr:colOff>304800</xdr:colOff>
      <xdr:row>271</xdr:row>
      <xdr:rowOff>6350</xdr:rowOff>
    </xdr:to>
    <xdr:sp macro="" textlink="">
      <xdr:nvSpPr>
        <xdr:cNvPr id="341" name="오른쪽으로 구부러진 화살표 340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274</xdr:row>
      <xdr:rowOff>0</xdr:rowOff>
    </xdr:from>
    <xdr:to>
      <xdr:col>3</xdr:col>
      <xdr:colOff>304800</xdr:colOff>
      <xdr:row>276</xdr:row>
      <xdr:rowOff>6350</xdr:rowOff>
    </xdr:to>
    <xdr:sp macro="" textlink="">
      <xdr:nvSpPr>
        <xdr:cNvPr id="342" name="오른쪽으로 구부러진 화살표 341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276</xdr:row>
      <xdr:rowOff>0</xdr:rowOff>
    </xdr:from>
    <xdr:to>
      <xdr:col>3</xdr:col>
      <xdr:colOff>304800</xdr:colOff>
      <xdr:row>278</xdr:row>
      <xdr:rowOff>6350</xdr:rowOff>
    </xdr:to>
    <xdr:sp macro="" textlink="">
      <xdr:nvSpPr>
        <xdr:cNvPr id="343" name="오른쪽으로 구부러진 화살표 342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278</xdr:row>
      <xdr:rowOff>0</xdr:rowOff>
    </xdr:from>
    <xdr:to>
      <xdr:col>3</xdr:col>
      <xdr:colOff>304800</xdr:colOff>
      <xdr:row>280</xdr:row>
      <xdr:rowOff>6350</xdr:rowOff>
    </xdr:to>
    <xdr:sp macro="" textlink="">
      <xdr:nvSpPr>
        <xdr:cNvPr id="344" name="오른쪽으로 구부러진 화살표 343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283</xdr:row>
      <xdr:rowOff>0</xdr:rowOff>
    </xdr:from>
    <xdr:to>
      <xdr:col>3</xdr:col>
      <xdr:colOff>304800</xdr:colOff>
      <xdr:row>285</xdr:row>
      <xdr:rowOff>6350</xdr:rowOff>
    </xdr:to>
    <xdr:sp macro="" textlink="">
      <xdr:nvSpPr>
        <xdr:cNvPr id="345" name="오른쪽으로 구부러진 화살표 344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285</xdr:row>
      <xdr:rowOff>0</xdr:rowOff>
    </xdr:from>
    <xdr:to>
      <xdr:col>3</xdr:col>
      <xdr:colOff>304800</xdr:colOff>
      <xdr:row>287</xdr:row>
      <xdr:rowOff>6350</xdr:rowOff>
    </xdr:to>
    <xdr:sp macro="" textlink="">
      <xdr:nvSpPr>
        <xdr:cNvPr id="346" name="오른쪽으로 구부러진 화살표 345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287</xdr:row>
      <xdr:rowOff>0</xdr:rowOff>
    </xdr:from>
    <xdr:to>
      <xdr:col>3</xdr:col>
      <xdr:colOff>304800</xdr:colOff>
      <xdr:row>289</xdr:row>
      <xdr:rowOff>6350</xdr:rowOff>
    </xdr:to>
    <xdr:sp macro="" textlink="">
      <xdr:nvSpPr>
        <xdr:cNvPr id="347" name="오른쪽으로 구부러진 화살표 346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292</xdr:row>
      <xdr:rowOff>0</xdr:rowOff>
    </xdr:from>
    <xdr:to>
      <xdr:col>3</xdr:col>
      <xdr:colOff>304800</xdr:colOff>
      <xdr:row>294</xdr:row>
      <xdr:rowOff>6350</xdr:rowOff>
    </xdr:to>
    <xdr:sp macro="" textlink="">
      <xdr:nvSpPr>
        <xdr:cNvPr id="348" name="오른쪽으로 구부러진 화살표 347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294</xdr:row>
      <xdr:rowOff>0</xdr:rowOff>
    </xdr:from>
    <xdr:to>
      <xdr:col>3</xdr:col>
      <xdr:colOff>304800</xdr:colOff>
      <xdr:row>296</xdr:row>
      <xdr:rowOff>6350</xdr:rowOff>
    </xdr:to>
    <xdr:sp macro="" textlink="">
      <xdr:nvSpPr>
        <xdr:cNvPr id="349" name="오른쪽으로 구부러진 화살표 348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296</xdr:row>
      <xdr:rowOff>0</xdr:rowOff>
    </xdr:from>
    <xdr:to>
      <xdr:col>3</xdr:col>
      <xdr:colOff>304800</xdr:colOff>
      <xdr:row>298</xdr:row>
      <xdr:rowOff>6350</xdr:rowOff>
    </xdr:to>
    <xdr:sp macro="" textlink="">
      <xdr:nvSpPr>
        <xdr:cNvPr id="350" name="오른쪽으로 구부러진 화살표 349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301</xdr:row>
      <xdr:rowOff>0</xdr:rowOff>
    </xdr:from>
    <xdr:to>
      <xdr:col>3</xdr:col>
      <xdr:colOff>304800</xdr:colOff>
      <xdr:row>303</xdr:row>
      <xdr:rowOff>6350</xdr:rowOff>
    </xdr:to>
    <xdr:sp macro="" textlink="">
      <xdr:nvSpPr>
        <xdr:cNvPr id="351" name="오른쪽으로 구부러진 화살표 350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303</xdr:row>
      <xdr:rowOff>0</xdr:rowOff>
    </xdr:from>
    <xdr:to>
      <xdr:col>3</xdr:col>
      <xdr:colOff>304800</xdr:colOff>
      <xdr:row>305</xdr:row>
      <xdr:rowOff>6350</xdr:rowOff>
    </xdr:to>
    <xdr:sp macro="" textlink="">
      <xdr:nvSpPr>
        <xdr:cNvPr id="352" name="오른쪽으로 구부러진 화살표 351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305</xdr:row>
      <xdr:rowOff>0</xdr:rowOff>
    </xdr:from>
    <xdr:to>
      <xdr:col>3</xdr:col>
      <xdr:colOff>304800</xdr:colOff>
      <xdr:row>307</xdr:row>
      <xdr:rowOff>6350</xdr:rowOff>
    </xdr:to>
    <xdr:sp macro="" textlink="">
      <xdr:nvSpPr>
        <xdr:cNvPr id="353" name="오른쪽으로 구부러진 화살표 352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310</xdr:row>
      <xdr:rowOff>0</xdr:rowOff>
    </xdr:from>
    <xdr:to>
      <xdr:col>3</xdr:col>
      <xdr:colOff>304800</xdr:colOff>
      <xdr:row>312</xdr:row>
      <xdr:rowOff>6350</xdr:rowOff>
    </xdr:to>
    <xdr:sp macro="" textlink="">
      <xdr:nvSpPr>
        <xdr:cNvPr id="354" name="오른쪽으로 구부러진 화살표 353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312</xdr:row>
      <xdr:rowOff>0</xdr:rowOff>
    </xdr:from>
    <xdr:to>
      <xdr:col>3</xdr:col>
      <xdr:colOff>304800</xdr:colOff>
      <xdr:row>314</xdr:row>
      <xdr:rowOff>6350</xdr:rowOff>
    </xdr:to>
    <xdr:sp macro="" textlink="">
      <xdr:nvSpPr>
        <xdr:cNvPr id="355" name="오른쪽으로 구부러진 화살표 354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314</xdr:row>
      <xdr:rowOff>0</xdr:rowOff>
    </xdr:from>
    <xdr:to>
      <xdr:col>3</xdr:col>
      <xdr:colOff>304800</xdr:colOff>
      <xdr:row>316</xdr:row>
      <xdr:rowOff>6350</xdr:rowOff>
    </xdr:to>
    <xdr:sp macro="" textlink="">
      <xdr:nvSpPr>
        <xdr:cNvPr id="356" name="오른쪽으로 구부러진 화살표 355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319</xdr:row>
      <xdr:rowOff>0</xdr:rowOff>
    </xdr:from>
    <xdr:to>
      <xdr:col>3</xdr:col>
      <xdr:colOff>304800</xdr:colOff>
      <xdr:row>321</xdr:row>
      <xdr:rowOff>6350</xdr:rowOff>
    </xdr:to>
    <xdr:sp macro="" textlink="">
      <xdr:nvSpPr>
        <xdr:cNvPr id="357" name="오른쪽으로 구부러진 화살표 356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321</xdr:row>
      <xdr:rowOff>0</xdr:rowOff>
    </xdr:from>
    <xdr:to>
      <xdr:col>3</xdr:col>
      <xdr:colOff>304800</xdr:colOff>
      <xdr:row>323</xdr:row>
      <xdr:rowOff>6350</xdr:rowOff>
    </xdr:to>
    <xdr:sp macro="" textlink="">
      <xdr:nvSpPr>
        <xdr:cNvPr id="358" name="오른쪽으로 구부러진 화살표 357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323</xdr:row>
      <xdr:rowOff>0</xdr:rowOff>
    </xdr:from>
    <xdr:to>
      <xdr:col>3</xdr:col>
      <xdr:colOff>304800</xdr:colOff>
      <xdr:row>325</xdr:row>
      <xdr:rowOff>6350</xdr:rowOff>
    </xdr:to>
    <xdr:sp macro="" textlink="">
      <xdr:nvSpPr>
        <xdr:cNvPr id="359" name="오른쪽으로 구부러진 화살표 358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328</xdr:row>
      <xdr:rowOff>0</xdr:rowOff>
    </xdr:from>
    <xdr:to>
      <xdr:col>3</xdr:col>
      <xdr:colOff>304800</xdr:colOff>
      <xdr:row>330</xdr:row>
      <xdr:rowOff>6350</xdr:rowOff>
    </xdr:to>
    <xdr:sp macro="" textlink="">
      <xdr:nvSpPr>
        <xdr:cNvPr id="360" name="오른쪽으로 구부러진 화살표 359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330</xdr:row>
      <xdr:rowOff>0</xdr:rowOff>
    </xdr:from>
    <xdr:to>
      <xdr:col>3</xdr:col>
      <xdr:colOff>304800</xdr:colOff>
      <xdr:row>332</xdr:row>
      <xdr:rowOff>6350</xdr:rowOff>
    </xdr:to>
    <xdr:sp macro="" textlink="">
      <xdr:nvSpPr>
        <xdr:cNvPr id="361" name="오른쪽으로 구부러진 화살표 360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332</xdr:row>
      <xdr:rowOff>0</xdr:rowOff>
    </xdr:from>
    <xdr:to>
      <xdr:col>3</xdr:col>
      <xdr:colOff>304800</xdr:colOff>
      <xdr:row>334</xdr:row>
      <xdr:rowOff>6350</xdr:rowOff>
    </xdr:to>
    <xdr:sp macro="" textlink="">
      <xdr:nvSpPr>
        <xdr:cNvPr id="362" name="오른쪽으로 구부러진 화살표 361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337</xdr:row>
      <xdr:rowOff>0</xdr:rowOff>
    </xdr:from>
    <xdr:to>
      <xdr:col>3</xdr:col>
      <xdr:colOff>304800</xdr:colOff>
      <xdr:row>339</xdr:row>
      <xdr:rowOff>6350</xdr:rowOff>
    </xdr:to>
    <xdr:sp macro="" textlink="">
      <xdr:nvSpPr>
        <xdr:cNvPr id="363" name="오른쪽으로 구부러진 화살표 362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339</xdr:row>
      <xdr:rowOff>0</xdr:rowOff>
    </xdr:from>
    <xdr:to>
      <xdr:col>3</xdr:col>
      <xdr:colOff>304800</xdr:colOff>
      <xdr:row>341</xdr:row>
      <xdr:rowOff>6350</xdr:rowOff>
    </xdr:to>
    <xdr:sp macro="" textlink="">
      <xdr:nvSpPr>
        <xdr:cNvPr id="364" name="오른쪽으로 구부러진 화살표 363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341</xdr:row>
      <xdr:rowOff>0</xdr:rowOff>
    </xdr:from>
    <xdr:to>
      <xdr:col>3</xdr:col>
      <xdr:colOff>304800</xdr:colOff>
      <xdr:row>343</xdr:row>
      <xdr:rowOff>6350</xdr:rowOff>
    </xdr:to>
    <xdr:sp macro="" textlink="">
      <xdr:nvSpPr>
        <xdr:cNvPr id="365" name="오른쪽으로 구부러진 화살표 364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346</xdr:row>
      <xdr:rowOff>0</xdr:rowOff>
    </xdr:from>
    <xdr:to>
      <xdr:col>3</xdr:col>
      <xdr:colOff>304800</xdr:colOff>
      <xdr:row>348</xdr:row>
      <xdr:rowOff>6350</xdr:rowOff>
    </xdr:to>
    <xdr:sp macro="" textlink="">
      <xdr:nvSpPr>
        <xdr:cNvPr id="366" name="오른쪽으로 구부러진 화살표 365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348</xdr:row>
      <xdr:rowOff>0</xdr:rowOff>
    </xdr:from>
    <xdr:to>
      <xdr:col>3</xdr:col>
      <xdr:colOff>304800</xdr:colOff>
      <xdr:row>350</xdr:row>
      <xdr:rowOff>6350</xdr:rowOff>
    </xdr:to>
    <xdr:sp macro="" textlink="">
      <xdr:nvSpPr>
        <xdr:cNvPr id="367" name="오른쪽으로 구부러진 화살표 366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350</xdr:row>
      <xdr:rowOff>0</xdr:rowOff>
    </xdr:from>
    <xdr:to>
      <xdr:col>3</xdr:col>
      <xdr:colOff>304800</xdr:colOff>
      <xdr:row>352</xdr:row>
      <xdr:rowOff>6350</xdr:rowOff>
    </xdr:to>
    <xdr:sp macro="" textlink="">
      <xdr:nvSpPr>
        <xdr:cNvPr id="368" name="오른쪽으로 구부러진 화살표 367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355</xdr:row>
      <xdr:rowOff>0</xdr:rowOff>
    </xdr:from>
    <xdr:to>
      <xdr:col>3</xdr:col>
      <xdr:colOff>304800</xdr:colOff>
      <xdr:row>357</xdr:row>
      <xdr:rowOff>6350</xdr:rowOff>
    </xdr:to>
    <xdr:sp macro="" textlink="">
      <xdr:nvSpPr>
        <xdr:cNvPr id="369" name="오른쪽으로 구부러진 화살표 368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357</xdr:row>
      <xdr:rowOff>0</xdr:rowOff>
    </xdr:from>
    <xdr:to>
      <xdr:col>3</xdr:col>
      <xdr:colOff>304800</xdr:colOff>
      <xdr:row>359</xdr:row>
      <xdr:rowOff>6350</xdr:rowOff>
    </xdr:to>
    <xdr:sp macro="" textlink="">
      <xdr:nvSpPr>
        <xdr:cNvPr id="370" name="오른쪽으로 구부러진 화살표 369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359</xdr:row>
      <xdr:rowOff>0</xdr:rowOff>
    </xdr:from>
    <xdr:to>
      <xdr:col>3</xdr:col>
      <xdr:colOff>304800</xdr:colOff>
      <xdr:row>361</xdr:row>
      <xdr:rowOff>6350</xdr:rowOff>
    </xdr:to>
    <xdr:sp macro="" textlink="">
      <xdr:nvSpPr>
        <xdr:cNvPr id="371" name="오른쪽으로 구부러진 화살표 370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364</xdr:row>
      <xdr:rowOff>0</xdr:rowOff>
    </xdr:from>
    <xdr:to>
      <xdr:col>3</xdr:col>
      <xdr:colOff>304800</xdr:colOff>
      <xdr:row>366</xdr:row>
      <xdr:rowOff>6350</xdr:rowOff>
    </xdr:to>
    <xdr:sp macro="" textlink="">
      <xdr:nvSpPr>
        <xdr:cNvPr id="372" name="오른쪽으로 구부러진 화살표 371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366</xdr:row>
      <xdr:rowOff>0</xdr:rowOff>
    </xdr:from>
    <xdr:to>
      <xdr:col>3</xdr:col>
      <xdr:colOff>304800</xdr:colOff>
      <xdr:row>368</xdr:row>
      <xdr:rowOff>6350</xdr:rowOff>
    </xdr:to>
    <xdr:sp macro="" textlink="">
      <xdr:nvSpPr>
        <xdr:cNvPr id="373" name="오른쪽으로 구부러진 화살표 372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368</xdr:row>
      <xdr:rowOff>0</xdr:rowOff>
    </xdr:from>
    <xdr:to>
      <xdr:col>3</xdr:col>
      <xdr:colOff>304800</xdr:colOff>
      <xdr:row>370</xdr:row>
      <xdr:rowOff>6350</xdr:rowOff>
    </xdr:to>
    <xdr:sp macro="" textlink="">
      <xdr:nvSpPr>
        <xdr:cNvPr id="374" name="오른쪽으로 구부러진 화살표 373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373</xdr:row>
      <xdr:rowOff>0</xdr:rowOff>
    </xdr:from>
    <xdr:to>
      <xdr:col>3</xdr:col>
      <xdr:colOff>304800</xdr:colOff>
      <xdr:row>375</xdr:row>
      <xdr:rowOff>6350</xdr:rowOff>
    </xdr:to>
    <xdr:sp macro="" textlink="">
      <xdr:nvSpPr>
        <xdr:cNvPr id="375" name="오른쪽으로 구부러진 화살표 374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375</xdr:row>
      <xdr:rowOff>0</xdr:rowOff>
    </xdr:from>
    <xdr:to>
      <xdr:col>3</xdr:col>
      <xdr:colOff>304800</xdr:colOff>
      <xdr:row>377</xdr:row>
      <xdr:rowOff>6350</xdr:rowOff>
    </xdr:to>
    <xdr:sp macro="" textlink="">
      <xdr:nvSpPr>
        <xdr:cNvPr id="376" name="오른쪽으로 구부러진 화살표 375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377</xdr:row>
      <xdr:rowOff>0</xdr:rowOff>
    </xdr:from>
    <xdr:to>
      <xdr:col>3</xdr:col>
      <xdr:colOff>304800</xdr:colOff>
      <xdr:row>379</xdr:row>
      <xdr:rowOff>6350</xdr:rowOff>
    </xdr:to>
    <xdr:sp macro="" textlink="">
      <xdr:nvSpPr>
        <xdr:cNvPr id="377" name="오른쪽으로 구부러진 화살표 376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382</xdr:row>
      <xdr:rowOff>0</xdr:rowOff>
    </xdr:from>
    <xdr:to>
      <xdr:col>3</xdr:col>
      <xdr:colOff>304800</xdr:colOff>
      <xdr:row>384</xdr:row>
      <xdr:rowOff>6350</xdr:rowOff>
    </xdr:to>
    <xdr:sp macro="" textlink="">
      <xdr:nvSpPr>
        <xdr:cNvPr id="378" name="오른쪽으로 구부러진 화살표 377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384</xdr:row>
      <xdr:rowOff>0</xdr:rowOff>
    </xdr:from>
    <xdr:to>
      <xdr:col>3</xdr:col>
      <xdr:colOff>304800</xdr:colOff>
      <xdr:row>386</xdr:row>
      <xdr:rowOff>6350</xdr:rowOff>
    </xdr:to>
    <xdr:sp macro="" textlink="">
      <xdr:nvSpPr>
        <xdr:cNvPr id="379" name="오른쪽으로 구부러진 화살표 378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386</xdr:row>
      <xdr:rowOff>0</xdr:rowOff>
    </xdr:from>
    <xdr:to>
      <xdr:col>3</xdr:col>
      <xdr:colOff>304800</xdr:colOff>
      <xdr:row>388</xdr:row>
      <xdr:rowOff>6350</xdr:rowOff>
    </xdr:to>
    <xdr:sp macro="" textlink="">
      <xdr:nvSpPr>
        <xdr:cNvPr id="380" name="오른쪽으로 구부러진 화살표 379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391</xdr:row>
      <xdr:rowOff>0</xdr:rowOff>
    </xdr:from>
    <xdr:to>
      <xdr:col>3</xdr:col>
      <xdr:colOff>304800</xdr:colOff>
      <xdr:row>393</xdr:row>
      <xdr:rowOff>6350</xdr:rowOff>
    </xdr:to>
    <xdr:sp macro="" textlink="">
      <xdr:nvSpPr>
        <xdr:cNvPr id="381" name="오른쪽으로 구부러진 화살표 380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393</xdr:row>
      <xdr:rowOff>0</xdr:rowOff>
    </xdr:from>
    <xdr:to>
      <xdr:col>3</xdr:col>
      <xdr:colOff>304800</xdr:colOff>
      <xdr:row>395</xdr:row>
      <xdr:rowOff>6350</xdr:rowOff>
    </xdr:to>
    <xdr:sp macro="" textlink="">
      <xdr:nvSpPr>
        <xdr:cNvPr id="382" name="오른쪽으로 구부러진 화살표 381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395</xdr:row>
      <xdr:rowOff>0</xdr:rowOff>
    </xdr:from>
    <xdr:to>
      <xdr:col>3</xdr:col>
      <xdr:colOff>304800</xdr:colOff>
      <xdr:row>397</xdr:row>
      <xdr:rowOff>6350</xdr:rowOff>
    </xdr:to>
    <xdr:sp macro="" textlink="">
      <xdr:nvSpPr>
        <xdr:cNvPr id="383" name="오른쪽으로 구부러진 화살표 382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400</xdr:row>
      <xdr:rowOff>0</xdr:rowOff>
    </xdr:from>
    <xdr:to>
      <xdr:col>3</xdr:col>
      <xdr:colOff>304800</xdr:colOff>
      <xdr:row>402</xdr:row>
      <xdr:rowOff>6350</xdr:rowOff>
    </xdr:to>
    <xdr:sp macro="" textlink="">
      <xdr:nvSpPr>
        <xdr:cNvPr id="384" name="오른쪽으로 구부러진 화살표 383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402</xdr:row>
      <xdr:rowOff>0</xdr:rowOff>
    </xdr:from>
    <xdr:to>
      <xdr:col>3</xdr:col>
      <xdr:colOff>304800</xdr:colOff>
      <xdr:row>404</xdr:row>
      <xdr:rowOff>6350</xdr:rowOff>
    </xdr:to>
    <xdr:sp macro="" textlink="">
      <xdr:nvSpPr>
        <xdr:cNvPr id="385" name="오른쪽으로 구부러진 화살표 384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404</xdr:row>
      <xdr:rowOff>0</xdr:rowOff>
    </xdr:from>
    <xdr:to>
      <xdr:col>3</xdr:col>
      <xdr:colOff>304800</xdr:colOff>
      <xdr:row>406</xdr:row>
      <xdr:rowOff>6350</xdr:rowOff>
    </xdr:to>
    <xdr:sp macro="" textlink="">
      <xdr:nvSpPr>
        <xdr:cNvPr id="386" name="오른쪽으로 구부러진 화살표 385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409</xdr:row>
      <xdr:rowOff>0</xdr:rowOff>
    </xdr:from>
    <xdr:to>
      <xdr:col>3</xdr:col>
      <xdr:colOff>304800</xdr:colOff>
      <xdr:row>411</xdr:row>
      <xdr:rowOff>6350</xdr:rowOff>
    </xdr:to>
    <xdr:sp macro="" textlink="">
      <xdr:nvSpPr>
        <xdr:cNvPr id="387" name="오른쪽으로 구부러진 화살표 386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411</xdr:row>
      <xdr:rowOff>0</xdr:rowOff>
    </xdr:from>
    <xdr:to>
      <xdr:col>3</xdr:col>
      <xdr:colOff>304800</xdr:colOff>
      <xdr:row>413</xdr:row>
      <xdr:rowOff>6350</xdr:rowOff>
    </xdr:to>
    <xdr:sp macro="" textlink="">
      <xdr:nvSpPr>
        <xdr:cNvPr id="388" name="오른쪽으로 구부러진 화살표 387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413</xdr:row>
      <xdr:rowOff>0</xdr:rowOff>
    </xdr:from>
    <xdr:to>
      <xdr:col>3</xdr:col>
      <xdr:colOff>304800</xdr:colOff>
      <xdr:row>415</xdr:row>
      <xdr:rowOff>6350</xdr:rowOff>
    </xdr:to>
    <xdr:sp macro="" textlink="">
      <xdr:nvSpPr>
        <xdr:cNvPr id="389" name="오른쪽으로 구부러진 화살표 388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418</xdr:row>
      <xdr:rowOff>0</xdr:rowOff>
    </xdr:from>
    <xdr:to>
      <xdr:col>3</xdr:col>
      <xdr:colOff>304800</xdr:colOff>
      <xdr:row>420</xdr:row>
      <xdr:rowOff>6350</xdr:rowOff>
    </xdr:to>
    <xdr:sp macro="" textlink="">
      <xdr:nvSpPr>
        <xdr:cNvPr id="390" name="오른쪽으로 구부러진 화살표 389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420</xdr:row>
      <xdr:rowOff>0</xdr:rowOff>
    </xdr:from>
    <xdr:to>
      <xdr:col>3</xdr:col>
      <xdr:colOff>304800</xdr:colOff>
      <xdr:row>422</xdr:row>
      <xdr:rowOff>6350</xdr:rowOff>
    </xdr:to>
    <xdr:sp macro="" textlink="">
      <xdr:nvSpPr>
        <xdr:cNvPr id="391" name="오른쪽으로 구부러진 화살표 390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422</xdr:row>
      <xdr:rowOff>0</xdr:rowOff>
    </xdr:from>
    <xdr:to>
      <xdr:col>3</xdr:col>
      <xdr:colOff>304800</xdr:colOff>
      <xdr:row>424</xdr:row>
      <xdr:rowOff>6350</xdr:rowOff>
    </xdr:to>
    <xdr:sp macro="" textlink="">
      <xdr:nvSpPr>
        <xdr:cNvPr id="392" name="오른쪽으로 구부러진 화살표 391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427</xdr:row>
      <xdr:rowOff>0</xdr:rowOff>
    </xdr:from>
    <xdr:to>
      <xdr:col>3</xdr:col>
      <xdr:colOff>304800</xdr:colOff>
      <xdr:row>429</xdr:row>
      <xdr:rowOff>6350</xdr:rowOff>
    </xdr:to>
    <xdr:sp macro="" textlink="">
      <xdr:nvSpPr>
        <xdr:cNvPr id="393" name="오른쪽으로 구부러진 화살표 392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429</xdr:row>
      <xdr:rowOff>0</xdr:rowOff>
    </xdr:from>
    <xdr:to>
      <xdr:col>3</xdr:col>
      <xdr:colOff>304800</xdr:colOff>
      <xdr:row>431</xdr:row>
      <xdr:rowOff>6350</xdr:rowOff>
    </xdr:to>
    <xdr:sp macro="" textlink="">
      <xdr:nvSpPr>
        <xdr:cNvPr id="394" name="오른쪽으로 구부러진 화살표 393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431</xdr:row>
      <xdr:rowOff>0</xdr:rowOff>
    </xdr:from>
    <xdr:to>
      <xdr:col>3</xdr:col>
      <xdr:colOff>304800</xdr:colOff>
      <xdr:row>433</xdr:row>
      <xdr:rowOff>6350</xdr:rowOff>
    </xdr:to>
    <xdr:sp macro="" textlink="">
      <xdr:nvSpPr>
        <xdr:cNvPr id="395" name="오른쪽으로 구부러진 화살표 394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436</xdr:row>
      <xdr:rowOff>0</xdr:rowOff>
    </xdr:from>
    <xdr:to>
      <xdr:col>3</xdr:col>
      <xdr:colOff>304800</xdr:colOff>
      <xdr:row>438</xdr:row>
      <xdr:rowOff>6350</xdr:rowOff>
    </xdr:to>
    <xdr:sp macro="" textlink="">
      <xdr:nvSpPr>
        <xdr:cNvPr id="396" name="오른쪽으로 구부러진 화살표 395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438</xdr:row>
      <xdr:rowOff>0</xdr:rowOff>
    </xdr:from>
    <xdr:to>
      <xdr:col>3</xdr:col>
      <xdr:colOff>304800</xdr:colOff>
      <xdr:row>440</xdr:row>
      <xdr:rowOff>6350</xdr:rowOff>
    </xdr:to>
    <xdr:sp macro="" textlink="">
      <xdr:nvSpPr>
        <xdr:cNvPr id="397" name="오른쪽으로 구부러진 화살표 396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440</xdr:row>
      <xdr:rowOff>0</xdr:rowOff>
    </xdr:from>
    <xdr:to>
      <xdr:col>3</xdr:col>
      <xdr:colOff>304800</xdr:colOff>
      <xdr:row>442</xdr:row>
      <xdr:rowOff>6350</xdr:rowOff>
    </xdr:to>
    <xdr:sp macro="" textlink="">
      <xdr:nvSpPr>
        <xdr:cNvPr id="398" name="오른쪽으로 구부러진 화살표 397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445</xdr:row>
      <xdr:rowOff>0</xdr:rowOff>
    </xdr:from>
    <xdr:to>
      <xdr:col>3</xdr:col>
      <xdr:colOff>304800</xdr:colOff>
      <xdr:row>447</xdr:row>
      <xdr:rowOff>6350</xdr:rowOff>
    </xdr:to>
    <xdr:sp macro="" textlink="">
      <xdr:nvSpPr>
        <xdr:cNvPr id="399" name="오른쪽으로 구부러진 화살표 398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447</xdr:row>
      <xdr:rowOff>0</xdr:rowOff>
    </xdr:from>
    <xdr:to>
      <xdr:col>3</xdr:col>
      <xdr:colOff>304800</xdr:colOff>
      <xdr:row>449</xdr:row>
      <xdr:rowOff>6350</xdr:rowOff>
    </xdr:to>
    <xdr:sp macro="" textlink="">
      <xdr:nvSpPr>
        <xdr:cNvPr id="400" name="오른쪽으로 구부러진 화살표 399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449</xdr:row>
      <xdr:rowOff>0</xdr:rowOff>
    </xdr:from>
    <xdr:to>
      <xdr:col>3</xdr:col>
      <xdr:colOff>304800</xdr:colOff>
      <xdr:row>451</xdr:row>
      <xdr:rowOff>6350</xdr:rowOff>
    </xdr:to>
    <xdr:sp macro="" textlink="">
      <xdr:nvSpPr>
        <xdr:cNvPr id="401" name="오른쪽으로 구부러진 화살표 400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454</xdr:row>
      <xdr:rowOff>0</xdr:rowOff>
    </xdr:from>
    <xdr:to>
      <xdr:col>3</xdr:col>
      <xdr:colOff>304800</xdr:colOff>
      <xdr:row>456</xdr:row>
      <xdr:rowOff>6350</xdr:rowOff>
    </xdr:to>
    <xdr:sp macro="" textlink="">
      <xdr:nvSpPr>
        <xdr:cNvPr id="402" name="오른쪽으로 구부러진 화살표 401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456</xdr:row>
      <xdr:rowOff>0</xdr:rowOff>
    </xdr:from>
    <xdr:to>
      <xdr:col>3</xdr:col>
      <xdr:colOff>304800</xdr:colOff>
      <xdr:row>458</xdr:row>
      <xdr:rowOff>6350</xdr:rowOff>
    </xdr:to>
    <xdr:sp macro="" textlink="">
      <xdr:nvSpPr>
        <xdr:cNvPr id="403" name="오른쪽으로 구부러진 화살표 402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458</xdr:row>
      <xdr:rowOff>0</xdr:rowOff>
    </xdr:from>
    <xdr:to>
      <xdr:col>3</xdr:col>
      <xdr:colOff>304800</xdr:colOff>
      <xdr:row>460</xdr:row>
      <xdr:rowOff>6350</xdr:rowOff>
    </xdr:to>
    <xdr:sp macro="" textlink="">
      <xdr:nvSpPr>
        <xdr:cNvPr id="404" name="오른쪽으로 구부러진 화살표 403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463</xdr:row>
      <xdr:rowOff>0</xdr:rowOff>
    </xdr:from>
    <xdr:to>
      <xdr:col>3</xdr:col>
      <xdr:colOff>304800</xdr:colOff>
      <xdr:row>465</xdr:row>
      <xdr:rowOff>6350</xdr:rowOff>
    </xdr:to>
    <xdr:sp macro="" textlink="">
      <xdr:nvSpPr>
        <xdr:cNvPr id="405" name="오른쪽으로 구부러진 화살표 404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465</xdr:row>
      <xdr:rowOff>0</xdr:rowOff>
    </xdr:from>
    <xdr:to>
      <xdr:col>3</xdr:col>
      <xdr:colOff>304800</xdr:colOff>
      <xdr:row>467</xdr:row>
      <xdr:rowOff>6350</xdr:rowOff>
    </xdr:to>
    <xdr:sp macro="" textlink="">
      <xdr:nvSpPr>
        <xdr:cNvPr id="406" name="오른쪽으로 구부러진 화살표 405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467</xdr:row>
      <xdr:rowOff>0</xdr:rowOff>
    </xdr:from>
    <xdr:to>
      <xdr:col>3</xdr:col>
      <xdr:colOff>304800</xdr:colOff>
      <xdr:row>469</xdr:row>
      <xdr:rowOff>6350</xdr:rowOff>
    </xdr:to>
    <xdr:sp macro="" textlink="">
      <xdr:nvSpPr>
        <xdr:cNvPr id="407" name="오른쪽으로 구부러진 화살표 406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472</xdr:row>
      <xdr:rowOff>0</xdr:rowOff>
    </xdr:from>
    <xdr:to>
      <xdr:col>3</xdr:col>
      <xdr:colOff>304800</xdr:colOff>
      <xdr:row>474</xdr:row>
      <xdr:rowOff>6350</xdr:rowOff>
    </xdr:to>
    <xdr:sp macro="" textlink="">
      <xdr:nvSpPr>
        <xdr:cNvPr id="408" name="오른쪽으로 구부러진 화살표 407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474</xdr:row>
      <xdr:rowOff>0</xdr:rowOff>
    </xdr:from>
    <xdr:to>
      <xdr:col>3</xdr:col>
      <xdr:colOff>304800</xdr:colOff>
      <xdr:row>476</xdr:row>
      <xdr:rowOff>6350</xdr:rowOff>
    </xdr:to>
    <xdr:sp macro="" textlink="">
      <xdr:nvSpPr>
        <xdr:cNvPr id="409" name="오른쪽으로 구부러진 화살표 408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476</xdr:row>
      <xdr:rowOff>0</xdr:rowOff>
    </xdr:from>
    <xdr:to>
      <xdr:col>3</xdr:col>
      <xdr:colOff>304800</xdr:colOff>
      <xdr:row>478</xdr:row>
      <xdr:rowOff>6350</xdr:rowOff>
    </xdr:to>
    <xdr:sp macro="" textlink="">
      <xdr:nvSpPr>
        <xdr:cNvPr id="410" name="오른쪽으로 구부러진 화살표 409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481</xdr:row>
      <xdr:rowOff>0</xdr:rowOff>
    </xdr:from>
    <xdr:to>
      <xdr:col>3</xdr:col>
      <xdr:colOff>304800</xdr:colOff>
      <xdr:row>483</xdr:row>
      <xdr:rowOff>6350</xdr:rowOff>
    </xdr:to>
    <xdr:sp macro="" textlink="">
      <xdr:nvSpPr>
        <xdr:cNvPr id="411" name="오른쪽으로 구부러진 화살표 410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483</xdr:row>
      <xdr:rowOff>0</xdr:rowOff>
    </xdr:from>
    <xdr:to>
      <xdr:col>3</xdr:col>
      <xdr:colOff>304800</xdr:colOff>
      <xdr:row>485</xdr:row>
      <xdr:rowOff>6350</xdr:rowOff>
    </xdr:to>
    <xdr:sp macro="" textlink="">
      <xdr:nvSpPr>
        <xdr:cNvPr id="412" name="오른쪽으로 구부러진 화살표 411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485</xdr:row>
      <xdr:rowOff>0</xdr:rowOff>
    </xdr:from>
    <xdr:to>
      <xdr:col>3</xdr:col>
      <xdr:colOff>304800</xdr:colOff>
      <xdr:row>487</xdr:row>
      <xdr:rowOff>6350</xdr:rowOff>
    </xdr:to>
    <xdr:sp macro="" textlink="">
      <xdr:nvSpPr>
        <xdr:cNvPr id="413" name="오른쪽으로 구부러진 화살표 412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490</xdr:row>
      <xdr:rowOff>0</xdr:rowOff>
    </xdr:from>
    <xdr:to>
      <xdr:col>3</xdr:col>
      <xdr:colOff>304800</xdr:colOff>
      <xdr:row>492</xdr:row>
      <xdr:rowOff>6350</xdr:rowOff>
    </xdr:to>
    <xdr:sp macro="" textlink="">
      <xdr:nvSpPr>
        <xdr:cNvPr id="414" name="오른쪽으로 구부러진 화살표 413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492</xdr:row>
      <xdr:rowOff>0</xdr:rowOff>
    </xdr:from>
    <xdr:to>
      <xdr:col>3</xdr:col>
      <xdr:colOff>304800</xdr:colOff>
      <xdr:row>494</xdr:row>
      <xdr:rowOff>6350</xdr:rowOff>
    </xdr:to>
    <xdr:sp macro="" textlink="">
      <xdr:nvSpPr>
        <xdr:cNvPr id="415" name="오른쪽으로 구부러진 화살표 414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494</xdr:row>
      <xdr:rowOff>0</xdr:rowOff>
    </xdr:from>
    <xdr:to>
      <xdr:col>3</xdr:col>
      <xdr:colOff>304800</xdr:colOff>
      <xdr:row>496</xdr:row>
      <xdr:rowOff>6350</xdr:rowOff>
    </xdr:to>
    <xdr:sp macro="" textlink="">
      <xdr:nvSpPr>
        <xdr:cNvPr id="416" name="오른쪽으로 구부러진 화살표 415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499</xdr:row>
      <xdr:rowOff>0</xdr:rowOff>
    </xdr:from>
    <xdr:to>
      <xdr:col>3</xdr:col>
      <xdr:colOff>304800</xdr:colOff>
      <xdr:row>501</xdr:row>
      <xdr:rowOff>6350</xdr:rowOff>
    </xdr:to>
    <xdr:sp macro="" textlink="">
      <xdr:nvSpPr>
        <xdr:cNvPr id="417" name="오른쪽으로 구부러진 화살표 416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501</xdr:row>
      <xdr:rowOff>0</xdr:rowOff>
    </xdr:from>
    <xdr:to>
      <xdr:col>3</xdr:col>
      <xdr:colOff>304800</xdr:colOff>
      <xdr:row>503</xdr:row>
      <xdr:rowOff>6350</xdr:rowOff>
    </xdr:to>
    <xdr:sp macro="" textlink="">
      <xdr:nvSpPr>
        <xdr:cNvPr id="418" name="오른쪽으로 구부러진 화살표 417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503</xdr:row>
      <xdr:rowOff>0</xdr:rowOff>
    </xdr:from>
    <xdr:to>
      <xdr:col>3</xdr:col>
      <xdr:colOff>304800</xdr:colOff>
      <xdr:row>505</xdr:row>
      <xdr:rowOff>6350</xdr:rowOff>
    </xdr:to>
    <xdr:sp macro="" textlink="">
      <xdr:nvSpPr>
        <xdr:cNvPr id="419" name="오른쪽으로 구부러진 화살표 418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508</xdr:row>
      <xdr:rowOff>0</xdr:rowOff>
    </xdr:from>
    <xdr:to>
      <xdr:col>3</xdr:col>
      <xdr:colOff>304800</xdr:colOff>
      <xdr:row>510</xdr:row>
      <xdr:rowOff>6350</xdr:rowOff>
    </xdr:to>
    <xdr:sp macro="" textlink="">
      <xdr:nvSpPr>
        <xdr:cNvPr id="420" name="오른쪽으로 구부러진 화살표 419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510</xdr:row>
      <xdr:rowOff>0</xdr:rowOff>
    </xdr:from>
    <xdr:to>
      <xdr:col>3</xdr:col>
      <xdr:colOff>304800</xdr:colOff>
      <xdr:row>512</xdr:row>
      <xdr:rowOff>6350</xdr:rowOff>
    </xdr:to>
    <xdr:sp macro="" textlink="">
      <xdr:nvSpPr>
        <xdr:cNvPr id="421" name="오른쪽으로 구부러진 화살표 420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512</xdr:row>
      <xdr:rowOff>0</xdr:rowOff>
    </xdr:from>
    <xdr:to>
      <xdr:col>3</xdr:col>
      <xdr:colOff>304800</xdr:colOff>
      <xdr:row>514</xdr:row>
      <xdr:rowOff>6350</xdr:rowOff>
    </xdr:to>
    <xdr:sp macro="" textlink="">
      <xdr:nvSpPr>
        <xdr:cNvPr id="422" name="오른쪽으로 구부러진 화살표 421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517</xdr:row>
      <xdr:rowOff>0</xdr:rowOff>
    </xdr:from>
    <xdr:to>
      <xdr:col>3</xdr:col>
      <xdr:colOff>304800</xdr:colOff>
      <xdr:row>519</xdr:row>
      <xdr:rowOff>6350</xdr:rowOff>
    </xdr:to>
    <xdr:sp macro="" textlink="">
      <xdr:nvSpPr>
        <xdr:cNvPr id="423" name="오른쪽으로 구부러진 화살표 422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519</xdr:row>
      <xdr:rowOff>0</xdr:rowOff>
    </xdr:from>
    <xdr:to>
      <xdr:col>3</xdr:col>
      <xdr:colOff>304800</xdr:colOff>
      <xdr:row>521</xdr:row>
      <xdr:rowOff>6350</xdr:rowOff>
    </xdr:to>
    <xdr:sp macro="" textlink="">
      <xdr:nvSpPr>
        <xdr:cNvPr id="424" name="오른쪽으로 구부러진 화살표 423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521</xdr:row>
      <xdr:rowOff>0</xdr:rowOff>
    </xdr:from>
    <xdr:to>
      <xdr:col>3</xdr:col>
      <xdr:colOff>304800</xdr:colOff>
      <xdr:row>523</xdr:row>
      <xdr:rowOff>6350</xdr:rowOff>
    </xdr:to>
    <xdr:sp macro="" textlink="">
      <xdr:nvSpPr>
        <xdr:cNvPr id="425" name="오른쪽으로 구부러진 화살표 424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526</xdr:row>
      <xdr:rowOff>0</xdr:rowOff>
    </xdr:from>
    <xdr:to>
      <xdr:col>3</xdr:col>
      <xdr:colOff>304800</xdr:colOff>
      <xdr:row>528</xdr:row>
      <xdr:rowOff>6350</xdr:rowOff>
    </xdr:to>
    <xdr:sp macro="" textlink="">
      <xdr:nvSpPr>
        <xdr:cNvPr id="426" name="오른쪽으로 구부러진 화살표 425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528</xdr:row>
      <xdr:rowOff>0</xdr:rowOff>
    </xdr:from>
    <xdr:to>
      <xdr:col>3</xdr:col>
      <xdr:colOff>304800</xdr:colOff>
      <xdr:row>530</xdr:row>
      <xdr:rowOff>6350</xdr:rowOff>
    </xdr:to>
    <xdr:sp macro="" textlink="">
      <xdr:nvSpPr>
        <xdr:cNvPr id="427" name="오른쪽으로 구부러진 화살표 426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530</xdr:row>
      <xdr:rowOff>0</xdr:rowOff>
    </xdr:from>
    <xdr:to>
      <xdr:col>3</xdr:col>
      <xdr:colOff>304800</xdr:colOff>
      <xdr:row>532</xdr:row>
      <xdr:rowOff>6350</xdr:rowOff>
    </xdr:to>
    <xdr:sp macro="" textlink="">
      <xdr:nvSpPr>
        <xdr:cNvPr id="428" name="오른쪽으로 구부러진 화살표 427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535</xdr:row>
      <xdr:rowOff>0</xdr:rowOff>
    </xdr:from>
    <xdr:to>
      <xdr:col>3</xdr:col>
      <xdr:colOff>304800</xdr:colOff>
      <xdr:row>537</xdr:row>
      <xdr:rowOff>6350</xdr:rowOff>
    </xdr:to>
    <xdr:sp macro="" textlink="">
      <xdr:nvSpPr>
        <xdr:cNvPr id="429" name="오른쪽으로 구부러진 화살표 428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537</xdr:row>
      <xdr:rowOff>0</xdr:rowOff>
    </xdr:from>
    <xdr:to>
      <xdr:col>3</xdr:col>
      <xdr:colOff>304800</xdr:colOff>
      <xdr:row>539</xdr:row>
      <xdr:rowOff>6350</xdr:rowOff>
    </xdr:to>
    <xdr:sp macro="" textlink="">
      <xdr:nvSpPr>
        <xdr:cNvPr id="430" name="오른쪽으로 구부러진 화살표 429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539</xdr:row>
      <xdr:rowOff>0</xdr:rowOff>
    </xdr:from>
    <xdr:to>
      <xdr:col>3</xdr:col>
      <xdr:colOff>304800</xdr:colOff>
      <xdr:row>541</xdr:row>
      <xdr:rowOff>6350</xdr:rowOff>
    </xdr:to>
    <xdr:sp macro="" textlink="">
      <xdr:nvSpPr>
        <xdr:cNvPr id="431" name="오른쪽으로 구부러진 화살표 430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544</xdr:row>
      <xdr:rowOff>0</xdr:rowOff>
    </xdr:from>
    <xdr:to>
      <xdr:col>3</xdr:col>
      <xdr:colOff>304800</xdr:colOff>
      <xdr:row>546</xdr:row>
      <xdr:rowOff>6350</xdr:rowOff>
    </xdr:to>
    <xdr:sp macro="" textlink="">
      <xdr:nvSpPr>
        <xdr:cNvPr id="432" name="오른쪽으로 구부러진 화살표 431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546</xdr:row>
      <xdr:rowOff>0</xdr:rowOff>
    </xdr:from>
    <xdr:to>
      <xdr:col>3</xdr:col>
      <xdr:colOff>304800</xdr:colOff>
      <xdr:row>548</xdr:row>
      <xdr:rowOff>6350</xdr:rowOff>
    </xdr:to>
    <xdr:sp macro="" textlink="">
      <xdr:nvSpPr>
        <xdr:cNvPr id="433" name="오른쪽으로 구부러진 화살표 432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548</xdr:row>
      <xdr:rowOff>0</xdr:rowOff>
    </xdr:from>
    <xdr:to>
      <xdr:col>3</xdr:col>
      <xdr:colOff>304800</xdr:colOff>
      <xdr:row>550</xdr:row>
      <xdr:rowOff>6350</xdr:rowOff>
    </xdr:to>
    <xdr:sp macro="" textlink="">
      <xdr:nvSpPr>
        <xdr:cNvPr id="434" name="오른쪽으로 구부러진 화살표 433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553</xdr:row>
      <xdr:rowOff>0</xdr:rowOff>
    </xdr:from>
    <xdr:to>
      <xdr:col>3</xdr:col>
      <xdr:colOff>304800</xdr:colOff>
      <xdr:row>555</xdr:row>
      <xdr:rowOff>6350</xdr:rowOff>
    </xdr:to>
    <xdr:sp macro="" textlink="">
      <xdr:nvSpPr>
        <xdr:cNvPr id="435" name="오른쪽으로 구부러진 화살표 434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555</xdr:row>
      <xdr:rowOff>0</xdr:rowOff>
    </xdr:from>
    <xdr:to>
      <xdr:col>3</xdr:col>
      <xdr:colOff>304800</xdr:colOff>
      <xdr:row>557</xdr:row>
      <xdr:rowOff>6350</xdr:rowOff>
    </xdr:to>
    <xdr:sp macro="" textlink="">
      <xdr:nvSpPr>
        <xdr:cNvPr id="436" name="오른쪽으로 구부러진 화살표 435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557</xdr:row>
      <xdr:rowOff>0</xdr:rowOff>
    </xdr:from>
    <xdr:to>
      <xdr:col>3</xdr:col>
      <xdr:colOff>304800</xdr:colOff>
      <xdr:row>559</xdr:row>
      <xdr:rowOff>6350</xdr:rowOff>
    </xdr:to>
    <xdr:sp macro="" textlink="">
      <xdr:nvSpPr>
        <xdr:cNvPr id="437" name="오른쪽으로 구부러진 화살표 436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562</xdr:row>
      <xdr:rowOff>0</xdr:rowOff>
    </xdr:from>
    <xdr:to>
      <xdr:col>3</xdr:col>
      <xdr:colOff>304800</xdr:colOff>
      <xdr:row>564</xdr:row>
      <xdr:rowOff>6350</xdr:rowOff>
    </xdr:to>
    <xdr:sp macro="" textlink="">
      <xdr:nvSpPr>
        <xdr:cNvPr id="438" name="오른쪽으로 구부러진 화살표 437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564</xdr:row>
      <xdr:rowOff>0</xdr:rowOff>
    </xdr:from>
    <xdr:to>
      <xdr:col>3</xdr:col>
      <xdr:colOff>304800</xdr:colOff>
      <xdr:row>566</xdr:row>
      <xdr:rowOff>6350</xdr:rowOff>
    </xdr:to>
    <xdr:sp macro="" textlink="">
      <xdr:nvSpPr>
        <xdr:cNvPr id="439" name="오른쪽으로 구부러진 화살표 438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566</xdr:row>
      <xdr:rowOff>0</xdr:rowOff>
    </xdr:from>
    <xdr:to>
      <xdr:col>3</xdr:col>
      <xdr:colOff>304800</xdr:colOff>
      <xdr:row>568</xdr:row>
      <xdr:rowOff>6350</xdr:rowOff>
    </xdr:to>
    <xdr:sp macro="" textlink="">
      <xdr:nvSpPr>
        <xdr:cNvPr id="440" name="오른쪽으로 구부러진 화살표 439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571</xdr:row>
      <xdr:rowOff>0</xdr:rowOff>
    </xdr:from>
    <xdr:to>
      <xdr:col>3</xdr:col>
      <xdr:colOff>304800</xdr:colOff>
      <xdr:row>573</xdr:row>
      <xdr:rowOff>6350</xdr:rowOff>
    </xdr:to>
    <xdr:sp macro="" textlink="">
      <xdr:nvSpPr>
        <xdr:cNvPr id="441" name="오른쪽으로 구부러진 화살표 440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573</xdr:row>
      <xdr:rowOff>0</xdr:rowOff>
    </xdr:from>
    <xdr:to>
      <xdr:col>3</xdr:col>
      <xdr:colOff>304800</xdr:colOff>
      <xdr:row>575</xdr:row>
      <xdr:rowOff>6350</xdr:rowOff>
    </xdr:to>
    <xdr:sp macro="" textlink="">
      <xdr:nvSpPr>
        <xdr:cNvPr id="442" name="오른쪽으로 구부러진 화살표 441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575</xdr:row>
      <xdr:rowOff>0</xdr:rowOff>
    </xdr:from>
    <xdr:to>
      <xdr:col>3</xdr:col>
      <xdr:colOff>304800</xdr:colOff>
      <xdr:row>577</xdr:row>
      <xdr:rowOff>6350</xdr:rowOff>
    </xdr:to>
    <xdr:sp macro="" textlink="">
      <xdr:nvSpPr>
        <xdr:cNvPr id="443" name="오른쪽으로 구부러진 화살표 442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580</xdr:row>
      <xdr:rowOff>0</xdr:rowOff>
    </xdr:from>
    <xdr:to>
      <xdr:col>3</xdr:col>
      <xdr:colOff>304800</xdr:colOff>
      <xdr:row>582</xdr:row>
      <xdr:rowOff>6350</xdr:rowOff>
    </xdr:to>
    <xdr:sp macro="" textlink="">
      <xdr:nvSpPr>
        <xdr:cNvPr id="444" name="오른쪽으로 구부러진 화살표 443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582</xdr:row>
      <xdr:rowOff>0</xdr:rowOff>
    </xdr:from>
    <xdr:to>
      <xdr:col>3</xdr:col>
      <xdr:colOff>304800</xdr:colOff>
      <xdr:row>584</xdr:row>
      <xdr:rowOff>6350</xdr:rowOff>
    </xdr:to>
    <xdr:sp macro="" textlink="">
      <xdr:nvSpPr>
        <xdr:cNvPr id="445" name="오른쪽으로 구부러진 화살표 444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584</xdr:row>
      <xdr:rowOff>0</xdr:rowOff>
    </xdr:from>
    <xdr:to>
      <xdr:col>3</xdr:col>
      <xdr:colOff>304800</xdr:colOff>
      <xdr:row>586</xdr:row>
      <xdr:rowOff>6350</xdr:rowOff>
    </xdr:to>
    <xdr:sp macro="" textlink="">
      <xdr:nvSpPr>
        <xdr:cNvPr id="446" name="오른쪽으로 구부러진 화살표 445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589</xdr:row>
      <xdr:rowOff>0</xdr:rowOff>
    </xdr:from>
    <xdr:to>
      <xdr:col>3</xdr:col>
      <xdr:colOff>304800</xdr:colOff>
      <xdr:row>591</xdr:row>
      <xdr:rowOff>6350</xdr:rowOff>
    </xdr:to>
    <xdr:sp macro="" textlink="">
      <xdr:nvSpPr>
        <xdr:cNvPr id="447" name="오른쪽으로 구부러진 화살표 446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591</xdr:row>
      <xdr:rowOff>0</xdr:rowOff>
    </xdr:from>
    <xdr:to>
      <xdr:col>3</xdr:col>
      <xdr:colOff>304800</xdr:colOff>
      <xdr:row>593</xdr:row>
      <xdr:rowOff>6350</xdr:rowOff>
    </xdr:to>
    <xdr:sp macro="" textlink="">
      <xdr:nvSpPr>
        <xdr:cNvPr id="448" name="오른쪽으로 구부러진 화살표 447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593</xdr:row>
      <xdr:rowOff>0</xdr:rowOff>
    </xdr:from>
    <xdr:to>
      <xdr:col>3</xdr:col>
      <xdr:colOff>304800</xdr:colOff>
      <xdr:row>595</xdr:row>
      <xdr:rowOff>6350</xdr:rowOff>
    </xdr:to>
    <xdr:sp macro="" textlink="">
      <xdr:nvSpPr>
        <xdr:cNvPr id="449" name="오른쪽으로 구부러진 화살표 448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598</xdr:row>
      <xdr:rowOff>0</xdr:rowOff>
    </xdr:from>
    <xdr:to>
      <xdr:col>3</xdr:col>
      <xdr:colOff>304800</xdr:colOff>
      <xdr:row>600</xdr:row>
      <xdr:rowOff>6350</xdr:rowOff>
    </xdr:to>
    <xdr:sp macro="" textlink="">
      <xdr:nvSpPr>
        <xdr:cNvPr id="450" name="오른쪽으로 구부러진 화살표 449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600</xdr:row>
      <xdr:rowOff>0</xdr:rowOff>
    </xdr:from>
    <xdr:to>
      <xdr:col>3</xdr:col>
      <xdr:colOff>304800</xdr:colOff>
      <xdr:row>602</xdr:row>
      <xdr:rowOff>6350</xdr:rowOff>
    </xdr:to>
    <xdr:sp macro="" textlink="">
      <xdr:nvSpPr>
        <xdr:cNvPr id="451" name="오른쪽으로 구부러진 화살표 450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602</xdr:row>
      <xdr:rowOff>0</xdr:rowOff>
    </xdr:from>
    <xdr:to>
      <xdr:col>3</xdr:col>
      <xdr:colOff>304800</xdr:colOff>
      <xdr:row>604</xdr:row>
      <xdr:rowOff>6350</xdr:rowOff>
    </xdr:to>
    <xdr:sp macro="" textlink="">
      <xdr:nvSpPr>
        <xdr:cNvPr id="452" name="오른쪽으로 구부러진 화살표 451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607</xdr:row>
      <xdr:rowOff>0</xdr:rowOff>
    </xdr:from>
    <xdr:to>
      <xdr:col>3</xdr:col>
      <xdr:colOff>304800</xdr:colOff>
      <xdr:row>609</xdr:row>
      <xdr:rowOff>6350</xdr:rowOff>
    </xdr:to>
    <xdr:sp macro="" textlink="">
      <xdr:nvSpPr>
        <xdr:cNvPr id="453" name="오른쪽으로 구부러진 화살표 452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609</xdr:row>
      <xdr:rowOff>0</xdr:rowOff>
    </xdr:from>
    <xdr:to>
      <xdr:col>3</xdr:col>
      <xdr:colOff>304800</xdr:colOff>
      <xdr:row>611</xdr:row>
      <xdr:rowOff>6350</xdr:rowOff>
    </xdr:to>
    <xdr:sp macro="" textlink="">
      <xdr:nvSpPr>
        <xdr:cNvPr id="454" name="오른쪽으로 구부러진 화살표 453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611</xdr:row>
      <xdr:rowOff>0</xdr:rowOff>
    </xdr:from>
    <xdr:to>
      <xdr:col>3</xdr:col>
      <xdr:colOff>304800</xdr:colOff>
      <xdr:row>613</xdr:row>
      <xdr:rowOff>6350</xdr:rowOff>
    </xdr:to>
    <xdr:sp macro="" textlink="">
      <xdr:nvSpPr>
        <xdr:cNvPr id="455" name="오른쪽으로 구부러진 화살표 454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616</xdr:row>
      <xdr:rowOff>0</xdr:rowOff>
    </xdr:from>
    <xdr:to>
      <xdr:col>3</xdr:col>
      <xdr:colOff>304800</xdr:colOff>
      <xdr:row>618</xdr:row>
      <xdr:rowOff>6350</xdr:rowOff>
    </xdr:to>
    <xdr:sp macro="" textlink="">
      <xdr:nvSpPr>
        <xdr:cNvPr id="456" name="오른쪽으로 구부러진 화살표 455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618</xdr:row>
      <xdr:rowOff>0</xdr:rowOff>
    </xdr:from>
    <xdr:to>
      <xdr:col>3</xdr:col>
      <xdr:colOff>304800</xdr:colOff>
      <xdr:row>620</xdr:row>
      <xdr:rowOff>6350</xdr:rowOff>
    </xdr:to>
    <xdr:sp macro="" textlink="">
      <xdr:nvSpPr>
        <xdr:cNvPr id="457" name="오른쪽으로 구부러진 화살표 456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620</xdr:row>
      <xdr:rowOff>0</xdr:rowOff>
    </xdr:from>
    <xdr:to>
      <xdr:col>3</xdr:col>
      <xdr:colOff>304800</xdr:colOff>
      <xdr:row>622</xdr:row>
      <xdr:rowOff>6350</xdr:rowOff>
    </xdr:to>
    <xdr:sp macro="" textlink="">
      <xdr:nvSpPr>
        <xdr:cNvPr id="458" name="오른쪽으로 구부러진 화살표 457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625</xdr:row>
      <xdr:rowOff>0</xdr:rowOff>
    </xdr:from>
    <xdr:to>
      <xdr:col>3</xdr:col>
      <xdr:colOff>304800</xdr:colOff>
      <xdr:row>627</xdr:row>
      <xdr:rowOff>6350</xdr:rowOff>
    </xdr:to>
    <xdr:sp macro="" textlink="">
      <xdr:nvSpPr>
        <xdr:cNvPr id="459" name="오른쪽으로 구부러진 화살표 458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627</xdr:row>
      <xdr:rowOff>0</xdr:rowOff>
    </xdr:from>
    <xdr:to>
      <xdr:col>3</xdr:col>
      <xdr:colOff>304800</xdr:colOff>
      <xdr:row>629</xdr:row>
      <xdr:rowOff>6350</xdr:rowOff>
    </xdr:to>
    <xdr:sp macro="" textlink="">
      <xdr:nvSpPr>
        <xdr:cNvPr id="460" name="오른쪽으로 구부러진 화살표 459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629</xdr:row>
      <xdr:rowOff>0</xdr:rowOff>
    </xdr:from>
    <xdr:to>
      <xdr:col>3</xdr:col>
      <xdr:colOff>304800</xdr:colOff>
      <xdr:row>631</xdr:row>
      <xdr:rowOff>6350</xdr:rowOff>
    </xdr:to>
    <xdr:sp macro="" textlink="">
      <xdr:nvSpPr>
        <xdr:cNvPr id="461" name="오른쪽으로 구부러진 화살표 460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634</xdr:row>
      <xdr:rowOff>0</xdr:rowOff>
    </xdr:from>
    <xdr:to>
      <xdr:col>3</xdr:col>
      <xdr:colOff>304800</xdr:colOff>
      <xdr:row>636</xdr:row>
      <xdr:rowOff>6350</xdr:rowOff>
    </xdr:to>
    <xdr:sp macro="" textlink="">
      <xdr:nvSpPr>
        <xdr:cNvPr id="462" name="오른쪽으로 구부러진 화살표 461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636</xdr:row>
      <xdr:rowOff>0</xdr:rowOff>
    </xdr:from>
    <xdr:to>
      <xdr:col>3</xdr:col>
      <xdr:colOff>304800</xdr:colOff>
      <xdr:row>638</xdr:row>
      <xdr:rowOff>6350</xdr:rowOff>
    </xdr:to>
    <xdr:sp macro="" textlink="">
      <xdr:nvSpPr>
        <xdr:cNvPr id="463" name="오른쪽으로 구부러진 화살표 462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638</xdr:row>
      <xdr:rowOff>0</xdr:rowOff>
    </xdr:from>
    <xdr:to>
      <xdr:col>3</xdr:col>
      <xdr:colOff>304800</xdr:colOff>
      <xdr:row>640</xdr:row>
      <xdr:rowOff>6350</xdr:rowOff>
    </xdr:to>
    <xdr:sp macro="" textlink="">
      <xdr:nvSpPr>
        <xdr:cNvPr id="464" name="오른쪽으로 구부러진 화살표 463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643</xdr:row>
      <xdr:rowOff>0</xdr:rowOff>
    </xdr:from>
    <xdr:to>
      <xdr:col>3</xdr:col>
      <xdr:colOff>304800</xdr:colOff>
      <xdr:row>645</xdr:row>
      <xdr:rowOff>6350</xdr:rowOff>
    </xdr:to>
    <xdr:sp macro="" textlink="">
      <xdr:nvSpPr>
        <xdr:cNvPr id="465" name="오른쪽으로 구부러진 화살표 464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645</xdr:row>
      <xdr:rowOff>0</xdr:rowOff>
    </xdr:from>
    <xdr:to>
      <xdr:col>3</xdr:col>
      <xdr:colOff>304800</xdr:colOff>
      <xdr:row>647</xdr:row>
      <xdr:rowOff>6350</xdr:rowOff>
    </xdr:to>
    <xdr:sp macro="" textlink="">
      <xdr:nvSpPr>
        <xdr:cNvPr id="466" name="오른쪽으로 구부러진 화살표 465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647</xdr:row>
      <xdr:rowOff>0</xdr:rowOff>
    </xdr:from>
    <xdr:to>
      <xdr:col>3</xdr:col>
      <xdr:colOff>304800</xdr:colOff>
      <xdr:row>649</xdr:row>
      <xdr:rowOff>6350</xdr:rowOff>
    </xdr:to>
    <xdr:sp macro="" textlink="">
      <xdr:nvSpPr>
        <xdr:cNvPr id="467" name="오른쪽으로 구부러진 화살표 466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652</xdr:row>
      <xdr:rowOff>0</xdr:rowOff>
    </xdr:from>
    <xdr:to>
      <xdr:col>3</xdr:col>
      <xdr:colOff>304800</xdr:colOff>
      <xdr:row>654</xdr:row>
      <xdr:rowOff>6350</xdr:rowOff>
    </xdr:to>
    <xdr:sp macro="" textlink="">
      <xdr:nvSpPr>
        <xdr:cNvPr id="468" name="오른쪽으로 구부러진 화살표 467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654</xdr:row>
      <xdr:rowOff>0</xdr:rowOff>
    </xdr:from>
    <xdr:to>
      <xdr:col>3</xdr:col>
      <xdr:colOff>304800</xdr:colOff>
      <xdr:row>656</xdr:row>
      <xdr:rowOff>6350</xdr:rowOff>
    </xdr:to>
    <xdr:sp macro="" textlink="">
      <xdr:nvSpPr>
        <xdr:cNvPr id="469" name="오른쪽으로 구부러진 화살표 468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656</xdr:row>
      <xdr:rowOff>0</xdr:rowOff>
    </xdr:from>
    <xdr:to>
      <xdr:col>3</xdr:col>
      <xdr:colOff>304800</xdr:colOff>
      <xdr:row>658</xdr:row>
      <xdr:rowOff>6350</xdr:rowOff>
    </xdr:to>
    <xdr:sp macro="" textlink="">
      <xdr:nvSpPr>
        <xdr:cNvPr id="470" name="오른쪽으로 구부러진 화살표 469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661</xdr:row>
      <xdr:rowOff>0</xdr:rowOff>
    </xdr:from>
    <xdr:to>
      <xdr:col>3</xdr:col>
      <xdr:colOff>304800</xdr:colOff>
      <xdr:row>663</xdr:row>
      <xdr:rowOff>6350</xdr:rowOff>
    </xdr:to>
    <xdr:sp macro="" textlink="">
      <xdr:nvSpPr>
        <xdr:cNvPr id="471" name="오른쪽으로 구부러진 화살표 470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663</xdr:row>
      <xdr:rowOff>0</xdr:rowOff>
    </xdr:from>
    <xdr:to>
      <xdr:col>3</xdr:col>
      <xdr:colOff>304800</xdr:colOff>
      <xdr:row>665</xdr:row>
      <xdr:rowOff>6350</xdr:rowOff>
    </xdr:to>
    <xdr:sp macro="" textlink="">
      <xdr:nvSpPr>
        <xdr:cNvPr id="472" name="오른쪽으로 구부러진 화살표 471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665</xdr:row>
      <xdr:rowOff>0</xdr:rowOff>
    </xdr:from>
    <xdr:to>
      <xdr:col>3</xdr:col>
      <xdr:colOff>304800</xdr:colOff>
      <xdr:row>667</xdr:row>
      <xdr:rowOff>6350</xdr:rowOff>
    </xdr:to>
    <xdr:sp macro="" textlink="">
      <xdr:nvSpPr>
        <xdr:cNvPr id="473" name="오른쪽으로 구부러진 화살표 472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670</xdr:row>
      <xdr:rowOff>0</xdr:rowOff>
    </xdr:from>
    <xdr:to>
      <xdr:col>3</xdr:col>
      <xdr:colOff>304800</xdr:colOff>
      <xdr:row>672</xdr:row>
      <xdr:rowOff>6350</xdr:rowOff>
    </xdr:to>
    <xdr:sp macro="" textlink="">
      <xdr:nvSpPr>
        <xdr:cNvPr id="474" name="오른쪽으로 구부러진 화살표 473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672</xdr:row>
      <xdr:rowOff>0</xdr:rowOff>
    </xdr:from>
    <xdr:to>
      <xdr:col>3</xdr:col>
      <xdr:colOff>304800</xdr:colOff>
      <xdr:row>674</xdr:row>
      <xdr:rowOff>6350</xdr:rowOff>
    </xdr:to>
    <xdr:sp macro="" textlink="">
      <xdr:nvSpPr>
        <xdr:cNvPr id="475" name="오른쪽으로 구부러진 화살표 474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674</xdr:row>
      <xdr:rowOff>0</xdr:rowOff>
    </xdr:from>
    <xdr:to>
      <xdr:col>3</xdr:col>
      <xdr:colOff>304800</xdr:colOff>
      <xdr:row>676</xdr:row>
      <xdr:rowOff>6350</xdr:rowOff>
    </xdr:to>
    <xdr:sp macro="" textlink="">
      <xdr:nvSpPr>
        <xdr:cNvPr id="476" name="오른쪽으로 구부러진 화살표 475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679</xdr:row>
      <xdr:rowOff>0</xdr:rowOff>
    </xdr:from>
    <xdr:to>
      <xdr:col>3</xdr:col>
      <xdr:colOff>304800</xdr:colOff>
      <xdr:row>681</xdr:row>
      <xdr:rowOff>6350</xdr:rowOff>
    </xdr:to>
    <xdr:sp macro="" textlink="">
      <xdr:nvSpPr>
        <xdr:cNvPr id="477" name="오른쪽으로 구부러진 화살표 476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681</xdr:row>
      <xdr:rowOff>0</xdr:rowOff>
    </xdr:from>
    <xdr:to>
      <xdr:col>3</xdr:col>
      <xdr:colOff>304800</xdr:colOff>
      <xdr:row>683</xdr:row>
      <xdr:rowOff>6350</xdr:rowOff>
    </xdr:to>
    <xdr:sp macro="" textlink="">
      <xdr:nvSpPr>
        <xdr:cNvPr id="478" name="오른쪽으로 구부러진 화살표 477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683</xdr:row>
      <xdr:rowOff>0</xdr:rowOff>
    </xdr:from>
    <xdr:to>
      <xdr:col>3</xdr:col>
      <xdr:colOff>304800</xdr:colOff>
      <xdr:row>685</xdr:row>
      <xdr:rowOff>6350</xdr:rowOff>
    </xdr:to>
    <xdr:sp macro="" textlink="">
      <xdr:nvSpPr>
        <xdr:cNvPr id="479" name="오른쪽으로 구부러진 화살표 478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688</xdr:row>
      <xdr:rowOff>0</xdr:rowOff>
    </xdr:from>
    <xdr:to>
      <xdr:col>3</xdr:col>
      <xdr:colOff>304800</xdr:colOff>
      <xdr:row>690</xdr:row>
      <xdr:rowOff>6350</xdr:rowOff>
    </xdr:to>
    <xdr:sp macro="" textlink="">
      <xdr:nvSpPr>
        <xdr:cNvPr id="480" name="오른쪽으로 구부러진 화살표 479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690</xdr:row>
      <xdr:rowOff>0</xdr:rowOff>
    </xdr:from>
    <xdr:to>
      <xdr:col>3</xdr:col>
      <xdr:colOff>304800</xdr:colOff>
      <xdr:row>692</xdr:row>
      <xdr:rowOff>6350</xdr:rowOff>
    </xdr:to>
    <xdr:sp macro="" textlink="">
      <xdr:nvSpPr>
        <xdr:cNvPr id="481" name="오른쪽으로 구부러진 화살표 480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692</xdr:row>
      <xdr:rowOff>0</xdr:rowOff>
    </xdr:from>
    <xdr:to>
      <xdr:col>3</xdr:col>
      <xdr:colOff>304800</xdr:colOff>
      <xdr:row>694</xdr:row>
      <xdr:rowOff>6350</xdr:rowOff>
    </xdr:to>
    <xdr:sp macro="" textlink="">
      <xdr:nvSpPr>
        <xdr:cNvPr id="482" name="오른쪽으로 구부러진 화살표 481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697</xdr:row>
      <xdr:rowOff>0</xdr:rowOff>
    </xdr:from>
    <xdr:to>
      <xdr:col>3</xdr:col>
      <xdr:colOff>304800</xdr:colOff>
      <xdr:row>699</xdr:row>
      <xdr:rowOff>6350</xdr:rowOff>
    </xdr:to>
    <xdr:sp macro="" textlink="">
      <xdr:nvSpPr>
        <xdr:cNvPr id="483" name="오른쪽으로 구부러진 화살표 482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699</xdr:row>
      <xdr:rowOff>0</xdr:rowOff>
    </xdr:from>
    <xdr:to>
      <xdr:col>3</xdr:col>
      <xdr:colOff>304800</xdr:colOff>
      <xdr:row>701</xdr:row>
      <xdr:rowOff>6350</xdr:rowOff>
    </xdr:to>
    <xdr:sp macro="" textlink="">
      <xdr:nvSpPr>
        <xdr:cNvPr id="484" name="오른쪽으로 구부러진 화살표 483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701</xdr:row>
      <xdr:rowOff>0</xdr:rowOff>
    </xdr:from>
    <xdr:to>
      <xdr:col>3</xdr:col>
      <xdr:colOff>304800</xdr:colOff>
      <xdr:row>703</xdr:row>
      <xdr:rowOff>6350</xdr:rowOff>
    </xdr:to>
    <xdr:sp macro="" textlink="">
      <xdr:nvSpPr>
        <xdr:cNvPr id="485" name="오른쪽으로 구부러진 화살표 484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706</xdr:row>
      <xdr:rowOff>0</xdr:rowOff>
    </xdr:from>
    <xdr:to>
      <xdr:col>3</xdr:col>
      <xdr:colOff>304800</xdr:colOff>
      <xdr:row>708</xdr:row>
      <xdr:rowOff>6350</xdr:rowOff>
    </xdr:to>
    <xdr:sp macro="" textlink="">
      <xdr:nvSpPr>
        <xdr:cNvPr id="486" name="오른쪽으로 구부러진 화살표 485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708</xdr:row>
      <xdr:rowOff>0</xdr:rowOff>
    </xdr:from>
    <xdr:to>
      <xdr:col>3</xdr:col>
      <xdr:colOff>304800</xdr:colOff>
      <xdr:row>710</xdr:row>
      <xdr:rowOff>6350</xdr:rowOff>
    </xdr:to>
    <xdr:sp macro="" textlink="">
      <xdr:nvSpPr>
        <xdr:cNvPr id="487" name="오른쪽으로 구부러진 화살표 486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710</xdr:row>
      <xdr:rowOff>0</xdr:rowOff>
    </xdr:from>
    <xdr:to>
      <xdr:col>3</xdr:col>
      <xdr:colOff>304800</xdr:colOff>
      <xdr:row>712</xdr:row>
      <xdr:rowOff>6350</xdr:rowOff>
    </xdr:to>
    <xdr:sp macro="" textlink="">
      <xdr:nvSpPr>
        <xdr:cNvPr id="488" name="오른쪽으로 구부러진 화살표 487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715</xdr:row>
      <xdr:rowOff>0</xdr:rowOff>
    </xdr:from>
    <xdr:to>
      <xdr:col>3</xdr:col>
      <xdr:colOff>304800</xdr:colOff>
      <xdr:row>717</xdr:row>
      <xdr:rowOff>6350</xdr:rowOff>
    </xdr:to>
    <xdr:sp macro="" textlink="">
      <xdr:nvSpPr>
        <xdr:cNvPr id="489" name="오른쪽으로 구부러진 화살표 488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717</xdr:row>
      <xdr:rowOff>0</xdr:rowOff>
    </xdr:from>
    <xdr:to>
      <xdr:col>3</xdr:col>
      <xdr:colOff>304800</xdr:colOff>
      <xdr:row>719</xdr:row>
      <xdr:rowOff>6350</xdr:rowOff>
    </xdr:to>
    <xdr:sp macro="" textlink="">
      <xdr:nvSpPr>
        <xdr:cNvPr id="490" name="오른쪽으로 구부러진 화살표 489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719</xdr:row>
      <xdr:rowOff>0</xdr:rowOff>
    </xdr:from>
    <xdr:to>
      <xdr:col>3</xdr:col>
      <xdr:colOff>304800</xdr:colOff>
      <xdr:row>721</xdr:row>
      <xdr:rowOff>6350</xdr:rowOff>
    </xdr:to>
    <xdr:sp macro="" textlink="">
      <xdr:nvSpPr>
        <xdr:cNvPr id="491" name="오른쪽으로 구부러진 화살표 490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724</xdr:row>
      <xdr:rowOff>0</xdr:rowOff>
    </xdr:from>
    <xdr:to>
      <xdr:col>3</xdr:col>
      <xdr:colOff>304800</xdr:colOff>
      <xdr:row>726</xdr:row>
      <xdr:rowOff>6350</xdr:rowOff>
    </xdr:to>
    <xdr:sp macro="" textlink="">
      <xdr:nvSpPr>
        <xdr:cNvPr id="492" name="오른쪽으로 구부러진 화살표 491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726</xdr:row>
      <xdr:rowOff>0</xdr:rowOff>
    </xdr:from>
    <xdr:to>
      <xdr:col>3</xdr:col>
      <xdr:colOff>304800</xdr:colOff>
      <xdr:row>728</xdr:row>
      <xdr:rowOff>6350</xdr:rowOff>
    </xdr:to>
    <xdr:sp macro="" textlink="">
      <xdr:nvSpPr>
        <xdr:cNvPr id="493" name="오른쪽으로 구부러진 화살표 492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728</xdr:row>
      <xdr:rowOff>0</xdr:rowOff>
    </xdr:from>
    <xdr:to>
      <xdr:col>3</xdr:col>
      <xdr:colOff>304800</xdr:colOff>
      <xdr:row>730</xdr:row>
      <xdr:rowOff>6350</xdr:rowOff>
    </xdr:to>
    <xdr:sp macro="" textlink="">
      <xdr:nvSpPr>
        <xdr:cNvPr id="494" name="오른쪽으로 구부러진 화살표 493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733</xdr:row>
      <xdr:rowOff>0</xdr:rowOff>
    </xdr:from>
    <xdr:to>
      <xdr:col>3</xdr:col>
      <xdr:colOff>304800</xdr:colOff>
      <xdr:row>735</xdr:row>
      <xdr:rowOff>6350</xdr:rowOff>
    </xdr:to>
    <xdr:sp macro="" textlink="">
      <xdr:nvSpPr>
        <xdr:cNvPr id="495" name="오른쪽으로 구부러진 화살표 494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735</xdr:row>
      <xdr:rowOff>0</xdr:rowOff>
    </xdr:from>
    <xdr:to>
      <xdr:col>3</xdr:col>
      <xdr:colOff>304800</xdr:colOff>
      <xdr:row>737</xdr:row>
      <xdr:rowOff>6350</xdr:rowOff>
    </xdr:to>
    <xdr:sp macro="" textlink="">
      <xdr:nvSpPr>
        <xdr:cNvPr id="496" name="오른쪽으로 구부러진 화살표 495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737</xdr:row>
      <xdr:rowOff>0</xdr:rowOff>
    </xdr:from>
    <xdr:to>
      <xdr:col>3</xdr:col>
      <xdr:colOff>304800</xdr:colOff>
      <xdr:row>739</xdr:row>
      <xdr:rowOff>6350</xdr:rowOff>
    </xdr:to>
    <xdr:sp macro="" textlink="">
      <xdr:nvSpPr>
        <xdr:cNvPr id="497" name="오른쪽으로 구부러진 화살표 496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742</xdr:row>
      <xdr:rowOff>0</xdr:rowOff>
    </xdr:from>
    <xdr:to>
      <xdr:col>3</xdr:col>
      <xdr:colOff>304800</xdr:colOff>
      <xdr:row>744</xdr:row>
      <xdr:rowOff>6350</xdr:rowOff>
    </xdr:to>
    <xdr:sp macro="" textlink="">
      <xdr:nvSpPr>
        <xdr:cNvPr id="498" name="오른쪽으로 구부러진 화살표 497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744</xdr:row>
      <xdr:rowOff>0</xdr:rowOff>
    </xdr:from>
    <xdr:to>
      <xdr:col>3</xdr:col>
      <xdr:colOff>304800</xdr:colOff>
      <xdr:row>746</xdr:row>
      <xdr:rowOff>6350</xdr:rowOff>
    </xdr:to>
    <xdr:sp macro="" textlink="">
      <xdr:nvSpPr>
        <xdr:cNvPr id="499" name="오른쪽으로 구부러진 화살표 498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746</xdr:row>
      <xdr:rowOff>0</xdr:rowOff>
    </xdr:from>
    <xdr:to>
      <xdr:col>3</xdr:col>
      <xdr:colOff>304800</xdr:colOff>
      <xdr:row>748</xdr:row>
      <xdr:rowOff>6350</xdr:rowOff>
    </xdr:to>
    <xdr:sp macro="" textlink="">
      <xdr:nvSpPr>
        <xdr:cNvPr id="500" name="오른쪽으로 구부러진 화살표 499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751</xdr:row>
      <xdr:rowOff>0</xdr:rowOff>
    </xdr:from>
    <xdr:to>
      <xdr:col>3</xdr:col>
      <xdr:colOff>304800</xdr:colOff>
      <xdr:row>753</xdr:row>
      <xdr:rowOff>6350</xdr:rowOff>
    </xdr:to>
    <xdr:sp macro="" textlink="">
      <xdr:nvSpPr>
        <xdr:cNvPr id="501" name="오른쪽으로 구부러진 화살표 500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753</xdr:row>
      <xdr:rowOff>0</xdr:rowOff>
    </xdr:from>
    <xdr:to>
      <xdr:col>3</xdr:col>
      <xdr:colOff>304800</xdr:colOff>
      <xdr:row>755</xdr:row>
      <xdr:rowOff>6350</xdr:rowOff>
    </xdr:to>
    <xdr:sp macro="" textlink="">
      <xdr:nvSpPr>
        <xdr:cNvPr id="502" name="오른쪽으로 구부러진 화살표 501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755</xdr:row>
      <xdr:rowOff>0</xdr:rowOff>
    </xdr:from>
    <xdr:to>
      <xdr:col>3</xdr:col>
      <xdr:colOff>304800</xdr:colOff>
      <xdr:row>757</xdr:row>
      <xdr:rowOff>6350</xdr:rowOff>
    </xdr:to>
    <xdr:sp macro="" textlink="">
      <xdr:nvSpPr>
        <xdr:cNvPr id="503" name="오른쪽으로 구부러진 화살표 502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760</xdr:row>
      <xdr:rowOff>0</xdr:rowOff>
    </xdr:from>
    <xdr:to>
      <xdr:col>3</xdr:col>
      <xdr:colOff>304800</xdr:colOff>
      <xdr:row>762</xdr:row>
      <xdr:rowOff>6350</xdr:rowOff>
    </xdr:to>
    <xdr:sp macro="" textlink="">
      <xdr:nvSpPr>
        <xdr:cNvPr id="504" name="오른쪽으로 구부러진 화살표 503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762</xdr:row>
      <xdr:rowOff>0</xdr:rowOff>
    </xdr:from>
    <xdr:to>
      <xdr:col>3</xdr:col>
      <xdr:colOff>304800</xdr:colOff>
      <xdr:row>764</xdr:row>
      <xdr:rowOff>6350</xdr:rowOff>
    </xdr:to>
    <xdr:sp macro="" textlink="">
      <xdr:nvSpPr>
        <xdr:cNvPr id="505" name="오른쪽으로 구부러진 화살표 504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764</xdr:row>
      <xdr:rowOff>0</xdr:rowOff>
    </xdr:from>
    <xdr:to>
      <xdr:col>3</xdr:col>
      <xdr:colOff>304800</xdr:colOff>
      <xdr:row>766</xdr:row>
      <xdr:rowOff>6350</xdr:rowOff>
    </xdr:to>
    <xdr:sp macro="" textlink="">
      <xdr:nvSpPr>
        <xdr:cNvPr id="506" name="오른쪽으로 구부러진 화살표 505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769</xdr:row>
      <xdr:rowOff>0</xdr:rowOff>
    </xdr:from>
    <xdr:to>
      <xdr:col>3</xdr:col>
      <xdr:colOff>304800</xdr:colOff>
      <xdr:row>771</xdr:row>
      <xdr:rowOff>6350</xdr:rowOff>
    </xdr:to>
    <xdr:sp macro="" textlink="">
      <xdr:nvSpPr>
        <xdr:cNvPr id="507" name="오른쪽으로 구부러진 화살표 506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771</xdr:row>
      <xdr:rowOff>0</xdr:rowOff>
    </xdr:from>
    <xdr:to>
      <xdr:col>3</xdr:col>
      <xdr:colOff>304800</xdr:colOff>
      <xdr:row>773</xdr:row>
      <xdr:rowOff>6350</xdr:rowOff>
    </xdr:to>
    <xdr:sp macro="" textlink="">
      <xdr:nvSpPr>
        <xdr:cNvPr id="508" name="오른쪽으로 구부러진 화살표 507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773</xdr:row>
      <xdr:rowOff>0</xdr:rowOff>
    </xdr:from>
    <xdr:to>
      <xdr:col>3</xdr:col>
      <xdr:colOff>304800</xdr:colOff>
      <xdr:row>775</xdr:row>
      <xdr:rowOff>6350</xdr:rowOff>
    </xdr:to>
    <xdr:sp macro="" textlink="">
      <xdr:nvSpPr>
        <xdr:cNvPr id="509" name="오른쪽으로 구부러진 화살표 508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778</xdr:row>
      <xdr:rowOff>0</xdr:rowOff>
    </xdr:from>
    <xdr:to>
      <xdr:col>3</xdr:col>
      <xdr:colOff>304800</xdr:colOff>
      <xdr:row>780</xdr:row>
      <xdr:rowOff>6350</xdr:rowOff>
    </xdr:to>
    <xdr:sp macro="" textlink="">
      <xdr:nvSpPr>
        <xdr:cNvPr id="510" name="오른쪽으로 구부러진 화살표 509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780</xdr:row>
      <xdr:rowOff>0</xdr:rowOff>
    </xdr:from>
    <xdr:to>
      <xdr:col>3</xdr:col>
      <xdr:colOff>304800</xdr:colOff>
      <xdr:row>782</xdr:row>
      <xdr:rowOff>6350</xdr:rowOff>
    </xdr:to>
    <xdr:sp macro="" textlink="">
      <xdr:nvSpPr>
        <xdr:cNvPr id="511" name="오른쪽으로 구부러진 화살표 510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782</xdr:row>
      <xdr:rowOff>0</xdr:rowOff>
    </xdr:from>
    <xdr:to>
      <xdr:col>3</xdr:col>
      <xdr:colOff>304800</xdr:colOff>
      <xdr:row>784</xdr:row>
      <xdr:rowOff>6350</xdr:rowOff>
    </xdr:to>
    <xdr:sp macro="" textlink="">
      <xdr:nvSpPr>
        <xdr:cNvPr id="512" name="오른쪽으로 구부러진 화살표 511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787</xdr:row>
      <xdr:rowOff>0</xdr:rowOff>
    </xdr:from>
    <xdr:to>
      <xdr:col>3</xdr:col>
      <xdr:colOff>304800</xdr:colOff>
      <xdr:row>789</xdr:row>
      <xdr:rowOff>6350</xdr:rowOff>
    </xdr:to>
    <xdr:sp macro="" textlink="">
      <xdr:nvSpPr>
        <xdr:cNvPr id="513" name="오른쪽으로 구부러진 화살표 512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789</xdr:row>
      <xdr:rowOff>0</xdr:rowOff>
    </xdr:from>
    <xdr:to>
      <xdr:col>3</xdr:col>
      <xdr:colOff>304800</xdr:colOff>
      <xdr:row>791</xdr:row>
      <xdr:rowOff>6350</xdr:rowOff>
    </xdr:to>
    <xdr:sp macro="" textlink="">
      <xdr:nvSpPr>
        <xdr:cNvPr id="514" name="오른쪽으로 구부러진 화살표 513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791</xdr:row>
      <xdr:rowOff>0</xdr:rowOff>
    </xdr:from>
    <xdr:to>
      <xdr:col>3</xdr:col>
      <xdr:colOff>304800</xdr:colOff>
      <xdr:row>793</xdr:row>
      <xdr:rowOff>6350</xdr:rowOff>
    </xdr:to>
    <xdr:sp macro="" textlink="">
      <xdr:nvSpPr>
        <xdr:cNvPr id="515" name="오른쪽으로 구부러진 화살표 514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796</xdr:row>
      <xdr:rowOff>0</xdr:rowOff>
    </xdr:from>
    <xdr:to>
      <xdr:col>3</xdr:col>
      <xdr:colOff>304800</xdr:colOff>
      <xdr:row>798</xdr:row>
      <xdr:rowOff>6350</xdr:rowOff>
    </xdr:to>
    <xdr:sp macro="" textlink="">
      <xdr:nvSpPr>
        <xdr:cNvPr id="516" name="오른쪽으로 구부러진 화살표 515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798</xdr:row>
      <xdr:rowOff>0</xdr:rowOff>
    </xdr:from>
    <xdr:to>
      <xdr:col>3</xdr:col>
      <xdr:colOff>304800</xdr:colOff>
      <xdr:row>800</xdr:row>
      <xdr:rowOff>6350</xdr:rowOff>
    </xdr:to>
    <xdr:sp macro="" textlink="">
      <xdr:nvSpPr>
        <xdr:cNvPr id="517" name="오른쪽으로 구부러진 화살표 516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800</xdr:row>
      <xdr:rowOff>0</xdr:rowOff>
    </xdr:from>
    <xdr:to>
      <xdr:col>3</xdr:col>
      <xdr:colOff>304800</xdr:colOff>
      <xdr:row>802</xdr:row>
      <xdr:rowOff>6350</xdr:rowOff>
    </xdr:to>
    <xdr:sp macro="" textlink="">
      <xdr:nvSpPr>
        <xdr:cNvPr id="518" name="오른쪽으로 구부러진 화살표 517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805</xdr:row>
      <xdr:rowOff>0</xdr:rowOff>
    </xdr:from>
    <xdr:to>
      <xdr:col>3</xdr:col>
      <xdr:colOff>304800</xdr:colOff>
      <xdr:row>807</xdr:row>
      <xdr:rowOff>6350</xdr:rowOff>
    </xdr:to>
    <xdr:sp macro="" textlink="">
      <xdr:nvSpPr>
        <xdr:cNvPr id="519" name="오른쪽으로 구부러진 화살표 518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807</xdr:row>
      <xdr:rowOff>0</xdr:rowOff>
    </xdr:from>
    <xdr:to>
      <xdr:col>3</xdr:col>
      <xdr:colOff>304800</xdr:colOff>
      <xdr:row>809</xdr:row>
      <xdr:rowOff>6350</xdr:rowOff>
    </xdr:to>
    <xdr:sp macro="" textlink="">
      <xdr:nvSpPr>
        <xdr:cNvPr id="520" name="오른쪽으로 구부러진 화살표 519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809</xdr:row>
      <xdr:rowOff>0</xdr:rowOff>
    </xdr:from>
    <xdr:to>
      <xdr:col>3</xdr:col>
      <xdr:colOff>304800</xdr:colOff>
      <xdr:row>811</xdr:row>
      <xdr:rowOff>6350</xdr:rowOff>
    </xdr:to>
    <xdr:sp macro="" textlink="">
      <xdr:nvSpPr>
        <xdr:cNvPr id="521" name="오른쪽으로 구부러진 화살표 520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814</xdr:row>
      <xdr:rowOff>0</xdr:rowOff>
    </xdr:from>
    <xdr:to>
      <xdr:col>3</xdr:col>
      <xdr:colOff>304800</xdr:colOff>
      <xdr:row>816</xdr:row>
      <xdr:rowOff>6350</xdr:rowOff>
    </xdr:to>
    <xdr:sp macro="" textlink="">
      <xdr:nvSpPr>
        <xdr:cNvPr id="522" name="오른쪽으로 구부러진 화살표 521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816</xdr:row>
      <xdr:rowOff>0</xdr:rowOff>
    </xdr:from>
    <xdr:to>
      <xdr:col>3</xdr:col>
      <xdr:colOff>304800</xdr:colOff>
      <xdr:row>818</xdr:row>
      <xdr:rowOff>6350</xdr:rowOff>
    </xdr:to>
    <xdr:sp macro="" textlink="">
      <xdr:nvSpPr>
        <xdr:cNvPr id="523" name="오른쪽으로 구부러진 화살표 522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818</xdr:row>
      <xdr:rowOff>0</xdr:rowOff>
    </xdr:from>
    <xdr:to>
      <xdr:col>3</xdr:col>
      <xdr:colOff>304800</xdr:colOff>
      <xdr:row>820</xdr:row>
      <xdr:rowOff>6350</xdr:rowOff>
    </xdr:to>
    <xdr:sp macro="" textlink="">
      <xdr:nvSpPr>
        <xdr:cNvPr id="524" name="오른쪽으로 구부러진 화살표 523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823</xdr:row>
      <xdr:rowOff>0</xdr:rowOff>
    </xdr:from>
    <xdr:to>
      <xdr:col>3</xdr:col>
      <xdr:colOff>304800</xdr:colOff>
      <xdr:row>825</xdr:row>
      <xdr:rowOff>6350</xdr:rowOff>
    </xdr:to>
    <xdr:sp macro="" textlink="">
      <xdr:nvSpPr>
        <xdr:cNvPr id="525" name="오른쪽으로 구부러진 화살표 524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825</xdr:row>
      <xdr:rowOff>0</xdr:rowOff>
    </xdr:from>
    <xdr:to>
      <xdr:col>3</xdr:col>
      <xdr:colOff>304800</xdr:colOff>
      <xdr:row>827</xdr:row>
      <xdr:rowOff>6350</xdr:rowOff>
    </xdr:to>
    <xdr:sp macro="" textlink="">
      <xdr:nvSpPr>
        <xdr:cNvPr id="526" name="오른쪽으로 구부러진 화살표 525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827</xdr:row>
      <xdr:rowOff>0</xdr:rowOff>
    </xdr:from>
    <xdr:to>
      <xdr:col>3</xdr:col>
      <xdr:colOff>304800</xdr:colOff>
      <xdr:row>829</xdr:row>
      <xdr:rowOff>6350</xdr:rowOff>
    </xdr:to>
    <xdr:sp macro="" textlink="">
      <xdr:nvSpPr>
        <xdr:cNvPr id="527" name="오른쪽으로 구부러진 화살표 526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832</xdr:row>
      <xdr:rowOff>0</xdr:rowOff>
    </xdr:from>
    <xdr:to>
      <xdr:col>3</xdr:col>
      <xdr:colOff>304800</xdr:colOff>
      <xdr:row>834</xdr:row>
      <xdr:rowOff>6350</xdr:rowOff>
    </xdr:to>
    <xdr:sp macro="" textlink="">
      <xdr:nvSpPr>
        <xdr:cNvPr id="528" name="오른쪽으로 구부러진 화살표 527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834</xdr:row>
      <xdr:rowOff>0</xdr:rowOff>
    </xdr:from>
    <xdr:to>
      <xdr:col>3</xdr:col>
      <xdr:colOff>304800</xdr:colOff>
      <xdr:row>836</xdr:row>
      <xdr:rowOff>6350</xdr:rowOff>
    </xdr:to>
    <xdr:sp macro="" textlink="">
      <xdr:nvSpPr>
        <xdr:cNvPr id="529" name="오른쪽으로 구부러진 화살표 528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836</xdr:row>
      <xdr:rowOff>0</xdr:rowOff>
    </xdr:from>
    <xdr:to>
      <xdr:col>3</xdr:col>
      <xdr:colOff>304800</xdr:colOff>
      <xdr:row>838</xdr:row>
      <xdr:rowOff>6350</xdr:rowOff>
    </xdr:to>
    <xdr:sp macro="" textlink="">
      <xdr:nvSpPr>
        <xdr:cNvPr id="530" name="오른쪽으로 구부러진 화살표 529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841</xdr:row>
      <xdr:rowOff>0</xdr:rowOff>
    </xdr:from>
    <xdr:to>
      <xdr:col>3</xdr:col>
      <xdr:colOff>304800</xdr:colOff>
      <xdr:row>843</xdr:row>
      <xdr:rowOff>6350</xdr:rowOff>
    </xdr:to>
    <xdr:sp macro="" textlink="">
      <xdr:nvSpPr>
        <xdr:cNvPr id="531" name="오른쪽으로 구부러진 화살표 530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843</xdr:row>
      <xdr:rowOff>0</xdr:rowOff>
    </xdr:from>
    <xdr:to>
      <xdr:col>3</xdr:col>
      <xdr:colOff>304800</xdr:colOff>
      <xdr:row>845</xdr:row>
      <xdr:rowOff>6350</xdr:rowOff>
    </xdr:to>
    <xdr:sp macro="" textlink="">
      <xdr:nvSpPr>
        <xdr:cNvPr id="532" name="오른쪽으로 구부러진 화살표 531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845</xdr:row>
      <xdr:rowOff>0</xdr:rowOff>
    </xdr:from>
    <xdr:to>
      <xdr:col>3</xdr:col>
      <xdr:colOff>304800</xdr:colOff>
      <xdr:row>847</xdr:row>
      <xdr:rowOff>6350</xdr:rowOff>
    </xdr:to>
    <xdr:sp macro="" textlink="">
      <xdr:nvSpPr>
        <xdr:cNvPr id="533" name="오른쪽으로 구부러진 화살표 532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850</xdr:row>
      <xdr:rowOff>0</xdr:rowOff>
    </xdr:from>
    <xdr:to>
      <xdr:col>3</xdr:col>
      <xdr:colOff>304800</xdr:colOff>
      <xdr:row>852</xdr:row>
      <xdr:rowOff>6350</xdr:rowOff>
    </xdr:to>
    <xdr:sp macro="" textlink="">
      <xdr:nvSpPr>
        <xdr:cNvPr id="534" name="오른쪽으로 구부러진 화살표 533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852</xdr:row>
      <xdr:rowOff>0</xdr:rowOff>
    </xdr:from>
    <xdr:to>
      <xdr:col>3</xdr:col>
      <xdr:colOff>304800</xdr:colOff>
      <xdr:row>854</xdr:row>
      <xdr:rowOff>6350</xdr:rowOff>
    </xdr:to>
    <xdr:sp macro="" textlink="">
      <xdr:nvSpPr>
        <xdr:cNvPr id="535" name="오른쪽으로 구부러진 화살표 534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854</xdr:row>
      <xdr:rowOff>0</xdr:rowOff>
    </xdr:from>
    <xdr:to>
      <xdr:col>3</xdr:col>
      <xdr:colOff>304800</xdr:colOff>
      <xdr:row>856</xdr:row>
      <xdr:rowOff>6350</xdr:rowOff>
    </xdr:to>
    <xdr:sp macro="" textlink="">
      <xdr:nvSpPr>
        <xdr:cNvPr id="536" name="오른쪽으로 구부러진 화살표 535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859</xdr:row>
      <xdr:rowOff>0</xdr:rowOff>
    </xdr:from>
    <xdr:to>
      <xdr:col>3</xdr:col>
      <xdr:colOff>304800</xdr:colOff>
      <xdr:row>861</xdr:row>
      <xdr:rowOff>6350</xdr:rowOff>
    </xdr:to>
    <xdr:sp macro="" textlink="">
      <xdr:nvSpPr>
        <xdr:cNvPr id="537" name="오른쪽으로 구부러진 화살표 536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861</xdr:row>
      <xdr:rowOff>0</xdr:rowOff>
    </xdr:from>
    <xdr:to>
      <xdr:col>3</xdr:col>
      <xdr:colOff>304800</xdr:colOff>
      <xdr:row>863</xdr:row>
      <xdr:rowOff>6350</xdr:rowOff>
    </xdr:to>
    <xdr:sp macro="" textlink="">
      <xdr:nvSpPr>
        <xdr:cNvPr id="538" name="오른쪽으로 구부러진 화살표 537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863</xdr:row>
      <xdr:rowOff>0</xdr:rowOff>
    </xdr:from>
    <xdr:to>
      <xdr:col>3</xdr:col>
      <xdr:colOff>304800</xdr:colOff>
      <xdr:row>865</xdr:row>
      <xdr:rowOff>6350</xdr:rowOff>
    </xdr:to>
    <xdr:sp macro="" textlink="">
      <xdr:nvSpPr>
        <xdr:cNvPr id="539" name="오른쪽으로 구부러진 화살표 538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868</xdr:row>
      <xdr:rowOff>0</xdr:rowOff>
    </xdr:from>
    <xdr:to>
      <xdr:col>3</xdr:col>
      <xdr:colOff>304800</xdr:colOff>
      <xdr:row>870</xdr:row>
      <xdr:rowOff>6350</xdr:rowOff>
    </xdr:to>
    <xdr:sp macro="" textlink="">
      <xdr:nvSpPr>
        <xdr:cNvPr id="540" name="오른쪽으로 구부러진 화살표 539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870</xdr:row>
      <xdr:rowOff>0</xdr:rowOff>
    </xdr:from>
    <xdr:to>
      <xdr:col>3</xdr:col>
      <xdr:colOff>304800</xdr:colOff>
      <xdr:row>872</xdr:row>
      <xdr:rowOff>6350</xdr:rowOff>
    </xdr:to>
    <xdr:sp macro="" textlink="">
      <xdr:nvSpPr>
        <xdr:cNvPr id="541" name="오른쪽으로 구부러진 화살표 540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872</xdr:row>
      <xdr:rowOff>0</xdr:rowOff>
    </xdr:from>
    <xdr:to>
      <xdr:col>3</xdr:col>
      <xdr:colOff>304800</xdr:colOff>
      <xdr:row>874</xdr:row>
      <xdr:rowOff>6350</xdr:rowOff>
    </xdr:to>
    <xdr:sp macro="" textlink="">
      <xdr:nvSpPr>
        <xdr:cNvPr id="542" name="오른쪽으로 구부러진 화살표 541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877</xdr:row>
      <xdr:rowOff>0</xdr:rowOff>
    </xdr:from>
    <xdr:to>
      <xdr:col>3</xdr:col>
      <xdr:colOff>304800</xdr:colOff>
      <xdr:row>879</xdr:row>
      <xdr:rowOff>6350</xdr:rowOff>
    </xdr:to>
    <xdr:sp macro="" textlink="">
      <xdr:nvSpPr>
        <xdr:cNvPr id="543" name="오른쪽으로 구부러진 화살표 542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879</xdr:row>
      <xdr:rowOff>0</xdr:rowOff>
    </xdr:from>
    <xdr:to>
      <xdr:col>3</xdr:col>
      <xdr:colOff>304800</xdr:colOff>
      <xdr:row>881</xdr:row>
      <xdr:rowOff>6350</xdr:rowOff>
    </xdr:to>
    <xdr:sp macro="" textlink="">
      <xdr:nvSpPr>
        <xdr:cNvPr id="544" name="오른쪽으로 구부러진 화살표 543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881</xdr:row>
      <xdr:rowOff>0</xdr:rowOff>
    </xdr:from>
    <xdr:to>
      <xdr:col>3</xdr:col>
      <xdr:colOff>304800</xdr:colOff>
      <xdr:row>883</xdr:row>
      <xdr:rowOff>6350</xdr:rowOff>
    </xdr:to>
    <xdr:sp macro="" textlink="">
      <xdr:nvSpPr>
        <xdr:cNvPr id="545" name="오른쪽으로 구부러진 화살표 544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886</xdr:row>
      <xdr:rowOff>0</xdr:rowOff>
    </xdr:from>
    <xdr:to>
      <xdr:col>3</xdr:col>
      <xdr:colOff>304800</xdr:colOff>
      <xdr:row>888</xdr:row>
      <xdr:rowOff>6350</xdr:rowOff>
    </xdr:to>
    <xdr:sp macro="" textlink="">
      <xdr:nvSpPr>
        <xdr:cNvPr id="546" name="오른쪽으로 구부러진 화살표 545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888</xdr:row>
      <xdr:rowOff>0</xdr:rowOff>
    </xdr:from>
    <xdr:to>
      <xdr:col>3</xdr:col>
      <xdr:colOff>304800</xdr:colOff>
      <xdr:row>890</xdr:row>
      <xdr:rowOff>6350</xdr:rowOff>
    </xdr:to>
    <xdr:sp macro="" textlink="">
      <xdr:nvSpPr>
        <xdr:cNvPr id="547" name="오른쪽으로 구부러진 화살표 546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890</xdr:row>
      <xdr:rowOff>0</xdr:rowOff>
    </xdr:from>
    <xdr:to>
      <xdr:col>3</xdr:col>
      <xdr:colOff>304800</xdr:colOff>
      <xdr:row>892</xdr:row>
      <xdr:rowOff>6350</xdr:rowOff>
    </xdr:to>
    <xdr:sp macro="" textlink="">
      <xdr:nvSpPr>
        <xdr:cNvPr id="548" name="오른쪽으로 구부러진 화살표 547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895</xdr:row>
      <xdr:rowOff>0</xdr:rowOff>
    </xdr:from>
    <xdr:to>
      <xdr:col>3</xdr:col>
      <xdr:colOff>304800</xdr:colOff>
      <xdr:row>897</xdr:row>
      <xdr:rowOff>6350</xdr:rowOff>
    </xdr:to>
    <xdr:sp macro="" textlink="">
      <xdr:nvSpPr>
        <xdr:cNvPr id="549" name="오른쪽으로 구부러진 화살표 548"/>
        <xdr:cNvSpPr/>
      </xdr:nvSpPr>
      <xdr:spPr>
        <a:xfrm>
          <a:off x="22352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897</xdr:row>
      <xdr:rowOff>0</xdr:rowOff>
    </xdr:from>
    <xdr:to>
      <xdr:col>3</xdr:col>
      <xdr:colOff>304800</xdr:colOff>
      <xdr:row>899</xdr:row>
      <xdr:rowOff>6350</xdr:rowOff>
    </xdr:to>
    <xdr:sp macro="" textlink="">
      <xdr:nvSpPr>
        <xdr:cNvPr id="550" name="오른쪽으로 구부러진 화살표 549"/>
        <xdr:cNvSpPr/>
      </xdr:nvSpPr>
      <xdr:spPr>
        <a:xfrm>
          <a:off x="22352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899</xdr:row>
      <xdr:rowOff>0</xdr:rowOff>
    </xdr:from>
    <xdr:to>
      <xdr:col>3</xdr:col>
      <xdr:colOff>304800</xdr:colOff>
      <xdr:row>901</xdr:row>
      <xdr:rowOff>6350</xdr:rowOff>
    </xdr:to>
    <xdr:sp macro="" textlink="">
      <xdr:nvSpPr>
        <xdr:cNvPr id="551" name="오른쪽으로 구부러진 화살표 550"/>
        <xdr:cNvSpPr/>
      </xdr:nvSpPr>
      <xdr:spPr>
        <a:xfrm>
          <a:off x="22352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904</xdr:row>
      <xdr:rowOff>0</xdr:rowOff>
    </xdr:from>
    <xdr:to>
      <xdr:col>3</xdr:col>
      <xdr:colOff>304800</xdr:colOff>
      <xdr:row>906</xdr:row>
      <xdr:rowOff>6350</xdr:rowOff>
    </xdr:to>
    <xdr:sp macro="" textlink="">
      <xdr:nvSpPr>
        <xdr:cNvPr id="552" name="오른쪽으로 구부러진 화살표 551"/>
        <xdr:cNvSpPr/>
      </xdr:nvSpPr>
      <xdr:spPr>
        <a:xfrm>
          <a:off x="22352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906</xdr:row>
      <xdr:rowOff>0</xdr:rowOff>
    </xdr:from>
    <xdr:to>
      <xdr:col>3</xdr:col>
      <xdr:colOff>304800</xdr:colOff>
      <xdr:row>908</xdr:row>
      <xdr:rowOff>6350</xdr:rowOff>
    </xdr:to>
    <xdr:sp macro="" textlink="">
      <xdr:nvSpPr>
        <xdr:cNvPr id="553" name="오른쪽으로 구부러진 화살표 552"/>
        <xdr:cNvSpPr/>
      </xdr:nvSpPr>
      <xdr:spPr>
        <a:xfrm>
          <a:off x="22352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908</xdr:row>
      <xdr:rowOff>0</xdr:rowOff>
    </xdr:from>
    <xdr:to>
      <xdr:col>3</xdr:col>
      <xdr:colOff>304800</xdr:colOff>
      <xdr:row>910</xdr:row>
      <xdr:rowOff>6350</xdr:rowOff>
    </xdr:to>
    <xdr:sp macro="" textlink="">
      <xdr:nvSpPr>
        <xdr:cNvPr id="554" name="오른쪽으로 구부러진 화살표 553"/>
        <xdr:cNvSpPr/>
      </xdr:nvSpPr>
      <xdr:spPr>
        <a:xfrm>
          <a:off x="22352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913</xdr:row>
      <xdr:rowOff>0</xdr:rowOff>
    </xdr:from>
    <xdr:to>
      <xdr:col>3</xdr:col>
      <xdr:colOff>304800</xdr:colOff>
      <xdr:row>915</xdr:row>
      <xdr:rowOff>6350</xdr:rowOff>
    </xdr:to>
    <xdr:sp macro="" textlink="">
      <xdr:nvSpPr>
        <xdr:cNvPr id="555" name="오른쪽으로 구부러진 화살표 554"/>
        <xdr:cNvSpPr/>
      </xdr:nvSpPr>
      <xdr:spPr>
        <a:xfrm>
          <a:off x="2235200" y="47498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915</xdr:row>
      <xdr:rowOff>0</xdr:rowOff>
    </xdr:from>
    <xdr:to>
      <xdr:col>3</xdr:col>
      <xdr:colOff>304800</xdr:colOff>
      <xdr:row>917</xdr:row>
      <xdr:rowOff>6350</xdr:rowOff>
    </xdr:to>
    <xdr:sp macro="" textlink="">
      <xdr:nvSpPr>
        <xdr:cNvPr id="556" name="오른쪽으로 구부러진 화살표 555"/>
        <xdr:cNvSpPr/>
      </xdr:nvSpPr>
      <xdr:spPr>
        <a:xfrm>
          <a:off x="2235200" y="5181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917</xdr:row>
      <xdr:rowOff>0</xdr:rowOff>
    </xdr:from>
    <xdr:to>
      <xdr:col>3</xdr:col>
      <xdr:colOff>304800</xdr:colOff>
      <xdr:row>919</xdr:row>
      <xdr:rowOff>6350</xdr:rowOff>
    </xdr:to>
    <xdr:sp macro="" textlink="">
      <xdr:nvSpPr>
        <xdr:cNvPr id="557" name="오른쪽으로 구부러진 화살표 556"/>
        <xdr:cNvSpPr/>
      </xdr:nvSpPr>
      <xdr:spPr>
        <a:xfrm>
          <a:off x="2235200" y="5613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260350</xdr:colOff>
      <xdr:row>15</xdr:row>
      <xdr:rowOff>196850</xdr:rowOff>
    </xdr:to>
    <xdr:sp macro="" textlink="">
      <xdr:nvSpPr>
        <xdr:cNvPr id="558" name="왼쪽으로 구부러진 화살표 55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9</xdr:col>
      <xdr:colOff>260350</xdr:colOff>
      <xdr:row>13</xdr:row>
      <xdr:rowOff>196850</xdr:rowOff>
    </xdr:to>
    <xdr:sp macro="" textlink="">
      <xdr:nvSpPr>
        <xdr:cNvPr id="559" name="왼쪽으로 구부러진 화살표 55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260350</xdr:colOff>
      <xdr:row>17</xdr:row>
      <xdr:rowOff>196850</xdr:rowOff>
    </xdr:to>
    <xdr:sp macro="" textlink="">
      <xdr:nvSpPr>
        <xdr:cNvPr id="560" name="왼쪽으로 구부러진 화살표 55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9</xdr:col>
      <xdr:colOff>260350</xdr:colOff>
      <xdr:row>19</xdr:row>
      <xdr:rowOff>196850</xdr:rowOff>
    </xdr:to>
    <xdr:sp macro="" textlink="">
      <xdr:nvSpPr>
        <xdr:cNvPr id="561" name="왼쪽으로 구부러진 화살표 56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9</xdr:col>
      <xdr:colOff>260350</xdr:colOff>
      <xdr:row>24</xdr:row>
      <xdr:rowOff>196850</xdr:rowOff>
    </xdr:to>
    <xdr:sp macro="" textlink="">
      <xdr:nvSpPr>
        <xdr:cNvPr id="562" name="왼쪽으로 구부러진 화살표 56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9</xdr:col>
      <xdr:colOff>260350</xdr:colOff>
      <xdr:row>22</xdr:row>
      <xdr:rowOff>196850</xdr:rowOff>
    </xdr:to>
    <xdr:sp macro="" textlink="">
      <xdr:nvSpPr>
        <xdr:cNvPr id="563" name="왼쪽으로 구부러진 화살표 56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9</xdr:col>
      <xdr:colOff>260350</xdr:colOff>
      <xdr:row>26</xdr:row>
      <xdr:rowOff>196850</xdr:rowOff>
    </xdr:to>
    <xdr:sp macro="" textlink="">
      <xdr:nvSpPr>
        <xdr:cNvPr id="564" name="왼쪽으로 구부러진 화살표 56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9</xdr:col>
      <xdr:colOff>260350</xdr:colOff>
      <xdr:row>28</xdr:row>
      <xdr:rowOff>196850</xdr:rowOff>
    </xdr:to>
    <xdr:sp macro="" textlink="">
      <xdr:nvSpPr>
        <xdr:cNvPr id="565" name="왼쪽으로 구부러진 화살표 56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9</xdr:col>
      <xdr:colOff>260350</xdr:colOff>
      <xdr:row>33</xdr:row>
      <xdr:rowOff>196850</xdr:rowOff>
    </xdr:to>
    <xdr:sp macro="" textlink="">
      <xdr:nvSpPr>
        <xdr:cNvPr id="566" name="왼쪽으로 구부러진 화살표 56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9</xdr:col>
      <xdr:colOff>260350</xdr:colOff>
      <xdr:row>31</xdr:row>
      <xdr:rowOff>196850</xdr:rowOff>
    </xdr:to>
    <xdr:sp macro="" textlink="">
      <xdr:nvSpPr>
        <xdr:cNvPr id="567" name="왼쪽으로 구부러진 화살표 56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9</xdr:col>
      <xdr:colOff>260350</xdr:colOff>
      <xdr:row>35</xdr:row>
      <xdr:rowOff>196850</xdr:rowOff>
    </xdr:to>
    <xdr:sp macro="" textlink="">
      <xdr:nvSpPr>
        <xdr:cNvPr id="568" name="왼쪽으로 구부러진 화살표 56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9</xdr:col>
      <xdr:colOff>260350</xdr:colOff>
      <xdr:row>37</xdr:row>
      <xdr:rowOff>196850</xdr:rowOff>
    </xdr:to>
    <xdr:sp macro="" textlink="">
      <xdr:nvSpPr>
        <xdr:cNvPr id="569" name="왼쪽으로 구부러진 화살표 56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9</xdr:col>
      <xdr:colOff>260350</xdr:colOff>
      <xdr:row>42</xdr:row>
      <xdr:rowOff>196850</xdr:rowOff>
    </xdr:to>
    <xdr:sp macro="" textlink="">
      <xdr:nvSpPr>
        <xdr:cNvPr id="570" name="왼쪽으로 구부러진 화살표 56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9</xdr:col>
      <xdr:colOff>260350</xdr:colOff>
      <xdr:row>40</xdr:row>
      <xdr:rowOff>196850</xdr:rowOff>
    </xdr:to>
    <xdr:sp macro="" textlink="">
      <xdr:nvSpPr>
        <xdr:cNvPr id="571" name="왼쪽으로 구부러진 화살표 57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9</xdr:col>
      <xdr:colOff>260350</xdr:colOff>
      <xdr:row>44</xdr:row>
      <xdr:rowOff>196850</xdr:rowOff>
    </xdr:to>
    <xdr:sp macro="" textlink="">
      <xdr:nvSpPr>
        <xdr:cNvPr id="572" name="왼쪽으로 구부러진 화살표 57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9</xdr:col>
      <xdr:colOff>260350</xdr:colOff>
      <xdr:row>46</xdr:row>
      <xdr:rowOff>196850</xdr:rowOff>
    </xdr:to>
    <xdr:sp macro="" textlink="">
      <xdr:nvSpPr>
        <xdr:cNvPr id="573" name="왼쪽으로 구부러진 화살표 57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9</xdr:col>
      <xdr:colOff>260350</xdr:colOff>
      <xdr:row>51</xdr:row>
      <xdr:rowOff>196850</xdr:rowOff>
    </xdr:to>
    <xdr:sp macro="" textlink="">
      <xdr:nvSpPr>
        <xdr:cNvPr id="574" name="왼쪽으로 구부러진 화살표 57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9</xdr:col>
      <xdr:colOff>260350</xdr:colOff>
      <xdr:row>49</xdr:row>
      <xdr:rowOff>196850</xdr:rowOff>
    </xdr:to>
    <xdr:sp macro="" textlink="">
      <xdr:nvSpPr>
        <xdr:cNvPr id="575" name="왼쪽으로 구부러진 화살표 57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9</xdr:col>
      <xdr:colOff>260350</xdr:colOff>
      <xdr:row>53</xdr:row>
      <xdr:rowOff>196850</xdr:rowOff>
    </xdr:to>
    <xdr:sp macro="" textlink="">
      <xdr:nvSpPr>
        <xdr:cNvPr id="576" name="왼쪽으로 구부러진 화살표 57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9</xdr:col>
      <xdr:colOff>260350</xdr:colOff>
      <xdr:row>55</xdr:row>
      <xdr:rowOff>196850</xdr:rowOff>
    </xdr:to>
    <xdr:sp macro="" textlink="">
      <xdr:nvSpPr>
        <xdr:cNvPr id="577" name="왼쪽으로 구부러진 화살표 57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9</xdr:col>
      <xdr:colOff>260350</xdr:colOff>
      <xdr:row>60</xdr:row>
      <xdr:rowOff>196850</xdr:rowOff>
    </xdr:to>
    <xdr:sp macro="" textlink="">
      <xdr:nvSpPr>
        <xdr:cNvPr id="578" name="왼쪽으로 구부러진 화살표 57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9</xdr:col>
      <xdr:colOff>260350</xdr:colOff>
      <xdr:row>58</xdr:row>
      <xdr:rowOff>196850</xdr:rowOff>
    </xdr:to>
    <xdr:sp macro="" textlink="">
      <xdr:nvSpPr>
        <xdr:cNvPr id="579" name="왼쪽으로 구부러진 화살표 57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9</xdr:col>
      <xdr:colOff>260350</xdr:colOff>
      <xdr:row>62</xdr:row>
      <xdr:rowOff>196850</xdr:rowOff>
    </xdr:to>
    <xdr:sp macro="" textlink="">
      <xdr:nvSpPr>
        <xdr:cNvPr id="580" name="왼쪽으로 구부러진 화살표 57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9</xdr:col>
      <xdr:colOff>260350</xdr:colOff>
      <xdr:row>64</xdr:row>
      <xdr:rowOff>196850</xdr:rowOff>
    </xdr:to>
    <xdr:sp macro="" textlink="">
      <xdr:nvSpPr>
        <xdr:cNvPr id="581" name="왼쪽으로 구부러진 화살표 58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9</xdr:col>
      <xdr:colOff>260350</xdr:colOff>
      <xdr:row>69</xdr:row>
      <xdr:rowOff>196850</xdr:rowOff>
    </xdr:to>
    <xdr:sp macro="" textlink="">
      <xdr:nvSpPr>
        <xdr:cNvPr id="582" name="왼쪽으로 구부러진 화살표 58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9</xdr:col>
      <xdr:colOff>260350</xdr:colOff>
      <xdr:row>67</xdr:row>
      <xdr:rowOff>196850</xdr:rowOff>
    </xdr:to>
    <xdr:sp macro="" textlink="">
      <xdr:nvSpPr>
        <xdr:cNvPr id="583" name="왼쪽으로 구부러진 화살표 58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9</xdr:col>
      <xdr:colOff>260350</xdr:colOff>
      <xdr:row>71</xdr:row>
      <xdr:rowOff>196850</xdr:rowOff>
    </xdr:to>
    <xdr:sp macro="" textlink="">
      <xdr:nvSpPr>
        <xdr:cNvPr id="584" name="왼쪽으로 구부러진 화살표 58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9</xdr:col>
      <xdr:colOff>260350</xdr:colOff>
      <xdr:row>73</xdr:row>
      <xdr:rowOff>196850</xdr:rowOff>
    </xdr:to>
    <xdr:sp macro="" textlink="">
      <xdr:nvSpPr>
        <xdr:cNvPr id="585" name="왼쪽으로 구부러진 화살표 58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9</xdr:col>
      <xdr:colOff>260350</xdr:colOff>
      <xdr:row>78</xdr:row>
      <xdr:rowOff>196850</xdr:rowOff>
    </xdr:to>
    <xdr:sp macro="" textlink="">
      <xdr:nvSpPr>
        <xdr:cNvPr id="586" name="왼쪽으로 구부러진 화살표 58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9</xdr:col>
      <xdr:colOff>260350</xdr:colOff>
      <xdr:row>76</xdr:row>
      <xdr:rowOff>196850</xdr:rowOff>
    </xdr:to>
    <xdr:sp macro="" textlink="">
      <xdr:nvSpPr>
        <xdr:cNvPr id="587" name="왼쪽으로 구부러진 화살표 58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9</xdr:col>
      <xdr:colOff>260350</xdr:colOff>
      <xdr:row>80</xdr:row>
      <xdr:rowOff>196850</xdr:rowOff>
    </xdr:to>
    <xdr:sp macro="" textlink="">
      <xdr:nvSpPr>
        <xdr:cNvPr id="588" name="왼쪽으로 구부러진 화살표 58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9</xdr:col>
      <xdr:colOff>260350</xdr:colOff>
      <xdr:row>82</xdr:row>
      <xdr:rowOff>196850</xdr:rowOff>
    </xdr:to>
    <xdr:sp macro="" textlink="">
      <xdr:nvSpPr>
        <xdr:cNvPr id="589" name="왼쪽으로 구부러진 화살표 58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9</xdr:col>
      <xdr:colOff>260350</xdr:colOff>
      <xdr:row>87</xdr:row>
      <xdr:rowOff>196850</xdr:rowOff>
    </xdr:to>
    <xdr:sp macro="" textlink="">
      <xdr:nvSpPr>
        <xdr:cNvPr id="590" name="왼쪽으로 구부러진 화살표 58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9</xdr:col>
      <xdr:colOff>260350</xdr:colOff>
      <xdr:row>85</xdr:row>
      <xdr:rowOff>196850</xdr:rowOff>
    </xdr:to>
    <xdr:sp macro="" textlink="">
      <xdr:nvSpPr>
        <xdr:cNvPr id="591" name="왼쪽으로 구부러진 화살표 59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9</xdr:col>
      <xdr:colOff>260350</xdr:colOff>
      <xdr:row>89</xdr:row>
      <xdr:rowOff>196850</xdr:rowOff>
    </xdr:to>
    <xdr:sp macro="" textlink="">
      <xdr:nvSpPr>
        <xdr:cNvPr id="592" name="왼쪽으로 구부러진 화살표 59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9</xdr:col>
      <xdr:colOff>260350</xdr:colOff>
      <xdr:row>91</xdr:row>
      <xdr:rowOff>196850</xdr:rowOff>
    </xdr:to>
    <xdr:sp macro="" textlink="">
      <xdr:nvSpPr>
        <xdr:cNvPr id="593" name="왼쪽으로 구부러진 화살표 59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9</xdr:col>
      <xdr:colOff>260350</xdr:colOff>
      <xdr:row>96</xdr:row>
      <xdr:rowOff>196850</xdr:rowOff>
    </xdr:to>
    <xdr:sp macro="" textlink="">
      <xdr:nvSpPr>
        <xdr:cNvPr id="594" name="왼쪽으로 구부러진 화살표 59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9</xdr:col>
      <xdr:colOff>260350</xdr:colOff>
      <xdr:row>94</xdr:row>
      <xdr:rowOff>196850</xdr:rowOff>
    </xdr:to>
    <xdr:sp macro="" textlink="">
      <xdr:nvSpPr>
        <xdr:cNvPr id="595" name="왼쪽으로 구부러진 화살표 59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9</xdr:col>
      <xdr:colOff>260350</xdr:colOff>
      <xdr:row>98</xdr:row>
      <xdr:rowOff>196850</xdr:rowOff>
    </xdr:to>
    <xdr:sp macro="" textlink="">
      <xdr:nvSpPr>
        <xdr:cNvPr id="596" name="왼쪽으로 구부러진 화살표 59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9</xdr:col>
      <xdr:colOff>260350</xdr:colOff>
      <xdr:row>100</xdr:row>
      <xdr:rowOff>196850</xdr:rowOff>
    </xdr:to>
    <xdr:sp macro="" textlink="">
      <xdr:nvSpPr>
        <xdr:cNvPr id="597" name="왼쪽으로 구부러진 화살표 59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9</xdr:col>
      <xdr:colOff>260350</xdr:colOff>
      <xdr:row>105</xdr:row>
      <xdr:rowOff>196850</xdr:rowOff>
    </xdr:to>
    <xdr:sp macro="" textlink="">
      <xdr:nvSpPr>
        <xdr:cNvPr id="598" name="왼쪽으로 구부러진 화살표 59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9</xdr:col>
      <xdr:colOff>260350</xdr:colOff>
      <xdr:row>103</xdr:row>
      <xdr:rowOff>196850</xdr:rowOff>
    </xdr:to>
    <xdr:sp macro="" textlink="">
      <xdr:nvSpPr>
        <xdr:cNvPr id="599" name="왼쪽으로 구부러진 화살표 59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9</xdr:col>
      <xdr:colOff>260350</xdr:colOff>
      <xdr:row>107</xdr:row>
      <xdr:rowOff>196850</xdr:rowOff>
    </xdr:to>
    <xdr:sp macro="" textlink="">
      <xdr:nvSpPr>
        <xdr:cNvPr id="600" name="왼쪽으로 구부러진 화살표 59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9</xdr:col>
      <xdr:colOff>260350</xdr:colOff>
      <xdr:row>109</xdr:row>
      <xdr:rowOff>196850</xdr:rowOff>
    </xdr:to>
    <xdr:sp macro="" textlink="">
      <xdr:nvSpPr>
        <xdr:cNvPr id="601" name="왼쪽으로 구부러진 화살표 60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9</xdr:col>
      <xdr:colOff>260350</xdr:colOff>
      <xdr:row>114</xdr:row>
      <xdr:rowOff>196850</xdr:rowOff>
    </xdr:to>
    <xdr:sp macro="" textlink="">
      <xdr:nvSpPr>
        <xdr:cNvPr id="602" name="왼쪽으로 구부러진 화살표 60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9</xdr:col>
      <xdr:colOff>260350</xdr:colOff>
      <xdr:row>112</xdr:row>
      <xdr:rowOff>196850</xdr:rowOff>
    </xdr:to>
    <xdr:sp macro="" textlink="">
      <xdr:nvSpPr>
        <xdr:cNvPr id="603" name="왼쪽으로 구부러진 화살표 60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9</xdr:col>
      <xdr:colOff>260350</xdr:colOff>
      <xdr:row>116</xdr:row>
      <xdr:rowOff>196850</xdr:rowOff>
    </xdr:to>
    <xdr:sp macro="" textlink="">
      <xdr:nvSpPr>
        <xdr:cNvPr id="604" name="왼쪽으로 구부러진 화살표 60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260350</xdr:colOff>
      <xdr:row>118</xdr:row>
      <xdr:rowOff>196850</xdr:rowOff>
    </xdr:to>
    <xdr:sp macro="" textlink="">
      <xdr:nvSpPr>
        <xdr:cNvPr id="605" name="왼쪽으로 구부러진 화살표 60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9</xdr:col>
      <xdr:colOff>260350</xdr:colOff>
      <xdr:row>123</xdr:row>
      <xdr:rowOff>196850</xdr:rowOff>
    </xdr:to>
    <xdr:sp macro="" textlink="">
      <xdr:nvSpPr>
        <xdr:cNvPr id="606" name="왼쪽으로 구부러진 화살표 60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9</xdr:col>
      <xdr:colOff>260350</xdr:colOff>
      <xdr:row>121</xdr:row>
      <xdr:rowOff>196850</xdr:rowOff>
    </xdr:to>
    <xdr:sp macro="" textlink="">
      <xdr:nvSpPr>
        <xdr:cNvPr id="607" name="왼쪽으로 구부러진 화살표 60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9</xdr:col>
      <xdr:colOff>260350</xdr:colOff>
      <xdr:row>125</xdr:row>
      <xdr:rowOff>196850</xdr:rowOff>
    </xdr:to>
    <xdr:sp macro="" textlink="">
      <xdr:nvSpPr>
        <xdr:cNvPr id="608" name="왼쪽으로 구부러진 화살표 60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9</xdr:col>
      <xdr:colOff>260350</xdr:colOff>
      <xdr:row>127</xdr:row>
      <xdr:rowOff>196850</xdr:rowOff>
    </xdr:to>
    <xdr:sp macro="" textlink="">
      <xdr:nvSpPr>
        <xdr:cNvPr id="609" name="왼쪽으로 구부러진 화살표 60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9</xdr:col>
      <xdr:colOff>260350</xdr:colOff>
      <xdr:row>132</xdr:row>
      <xdr:rowOff>196850</xdr:rowOff>
    </xdr:to>
    <xdr:sp macro="" textlink="">
      <xdr:nvSpPr>
        <xdr:cNvPr id="610" name="왼쪽으로 구부러진 화살표 60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9</xdr:col>
      <xdr:colOff>260350</xdr:colOff>
      <xdr:row>130</xdr:row>
      <xdr:rowOff>196850</xdr:rowOff>
    </xdr:to>
    <xdr:sp macro="" textlink="">
      <xdr:nvSpPr>
        <xdr:cNvPr id="611" name="왼쪽으로 구부러진 화살표 61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9</xdr:col>
      <xdr:colOff>260350</xdr:colOff>
      <xdr:row>134</xdr:row>
      <xdr:rowOff>196850</xdr:rowOff>
    </xdr:to>
    <xdr:sp macro="" textlink="">
      <xdr:nvSpPr>
        <xdr:cNvPr id="612" name="왼쪽으로 구부러진 화살표 61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9</xdr:col>
      <xdr:colOff>260350</xdr:colOff>
      <xdr:row>136</xdr:row>
      <xdr:rowOff>196850</xdr:rowOff>
    </xdr:to>
    <xdr:sp macro="" textlink="">
      <xdr:nvSpPr>
        <xdr:cNvPr id="613" name="왼쪽으로 구부러진 화살표 61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140</xdr:row>
      <xdr:rowOff>0</xdr:rowOff>
    </xdr:from>
    <xdr:to>
      <xdr:col>9</xdr:col>
      <xdr:colOff>260350</xdr:colOff>
      <xdr:row>141</xdr:row>
      <xdr:rowOff>196850</xdr:rowOff>
    </xdr:to>
    <xdr:sp macro="" textlink="">
      <xdr:nvSpPr>
        <xdr:cNvPr id="614" name="왼쪽으로 구부러진 화살표 61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9</xdr:col>
      <xdr:colOff>260350</xdr:colOff>
      <xdr:row>139</xdr:row>
      <xdr:rowOff>196850</xdr:rowOff>
    </xdr:to>
    <xdr:sp macro="" textlink="">
      <xdr:nvSpPr>
        <xdr:cNvPr id="615" name="왼쪽으로 구부러진 화살표 61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142</xdr:row>
      <xdr:rowOff>0</xdr:rowOff>
    </xdr:from>
    <xdr:to>
      <xdr:col>9</xdr:col>
      <xdr:colOff>260350</xdr:colOff>
      <xdr:row>143</xdr:row>
      <xdr:rowOff>196850</xdr:rowOff>
    </xdr:to>
    <xdr:sp macro="" textlink="">
      <xdr:nvSpPr>
        <xdr:cNvPr id="616" name="왼쪽으로 구부러진 화살표 61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144</xdr:row>
      <xdr:rowOff>0</xdr:rowOff>
    </xdr:from>
    <xdr:to>
      <xdr:col>9</xdr:col>
      <xdr:colOff>260350</xdr:colOff>
      <xdr:row>145</xdr:row>
      <xdr:rowOff>196850</xdr:rowOff>
    </xdr:to>
    <xdr:sp macro="" textlink="">
      <xdr:nvSpPr>
        <xdr:cNvPr id="617" name="왼쪽으로 구부러진 화살표 61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149</xdr:row>
      <xdr:rowOff>0</xdr:rowOff>
    </xdr:from>
    <xdr:to>
      <xdr:col>9</xdr:col>
      <xdr:colOff>260350</xdr:colOff>
      <xdr:row>150</xdr:row>
      <xdr:rowOff>196850</xdr:rowOff>
    </xdr:to>
    <xdr:sp macro="" textlink="">
      <xdr:nvSpPr>
        <xdr:cNvPr id="618" name="왼쪽으로 구부러진 화살표 61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147</xdr:row>
      <xdr:rowOff>0</xdr:rowOff>
    </xdr:from>
    <xdr:to>
      <xdr:col>9</xdr:col>
      <xdr:colOff>260350</xdr:colOff>
      <xdr:row>148</xdr:row>
      <xdr:rowOff>196850</xdr:rowOff>
    </xdr:to>
    <xdr:sp macro="" textlink="">
      <xdr:nvSpPr>
        <xdr:cNvPr id="619" name="왼쪽으로 구부러진 화살표 61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151</xdr:row>
      <xdr:rowOff>0</xdr:rowOff>
    </xdr:from>
    <xdr:to>
      <xdr:col>9</xdr:col>
      <xdr:colOff>260350</xdr:colOff>
      <xdr:row>152</xdr:row>
      <xdr:rowOff>196850</xdr:rowOff>
    </xdr:to>
    <xdr:sp macro="" textlink="">
      <xdr:nvSpPr>
        <xdr:cNvPr id="620" name="왼쪽으로 구부러진 화살표 61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153</xdr:row>
      <xdr:rowOff>0</xdr:rowOff>
    </xdr:from>
    <xdr:to>
      <xdr:col>9</xdr:col>
      <xdr:colOff>260350</xdr:colOff>
      <xdr:row>154</xdr:row>
      <xdr:rowOff>196850</xdr:rowOff>
    </xdr:to>
    <xdr:sp macro="" textlink="">
      <xdr:nvSpPr>
        <xdr:cNvPr id="621" name="왼쪽으로 구부러진 화살표 62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158</xdr:row>
      <xdr:rowOff>0</xdr:rowOff>
    </xdr:from>
    <xdr:to>
      <xdr:col>9</xdr:col>
      <xdr:colOff>260350</xdr:colOff>
      <xdr:row>159</xdr:row>
      <xdr:rowOff>196850</xdr:rowOff>
    </xdr:to>
    <xdr:sp macro="" textlink="">
      <xdr:nvSpPr>
        <xdr:cNvPr id="622" name="왼쪽으로 구부러진 화살표 62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156</xdr:row>
      <xdr:rowOff>0</xdr:rowOff>
    </xdr:from>
    <xdr:to>
      <xdr:col>9</xdr:col>
      <xdr:colOff>260350</xdr:colOff>
      <xdr:row>157</xdr:row>
      <xdr:rowOff>196850</xdr:rowOff>
    </xdr:to>
    <xdr:sp macro="" textlink="">
      <xdr:nvSpPr>
        <xdr:cNvPr id="623" name="왼쪽으로 구부러진 화살표 62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160</xdr:row>
      <xdr:rowOff>0</xdr:rowOff>
    </xdr:from>
    <xdr:to>
      <xdr:col>9</xdr:col>
      <xdr:colOff>260350</xdr:colOff>
      <xdr:row>161</xdr:row>
      <xdr:rowOff>196850</xdr:rowOff>
    </xdr:to>
    <xdr:sp macro="" textlink="">
      <xdr:nvSpPr>
        <xdr:cNvPr id="624" name="왼쪽으로 구부러진 화살표 62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162</xdr:row>
      <xdr:rowOff>0</xdr:rowOff>
    </xdr:from>
    <xdr:to>
      <xdr:col>9</xdr:col>
      <xdr:colOff>260350</xdr:colOff>
      <xdr:row>163</xdr:row>
      <xdr:rowOff>196850</xdr:rowOff>
    </xdr:to>
    <xdr:sp macro="" textlink="">
      <xdr:nvSpPr>
        <xdr:cNvPr id="625" name="왼쪽으로 구부러진 화살표 62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167</xdr:row>
      <xdr:rowOff>0</xdr:rowOff>
    </xdr:from>
    <xdr:to>
      <xdr:col>9</xdr:col>
      <xdr:colOff>260350</xdr:colOff>
      <xdr:row>168</xdr:row>
      <xdr:rowOff>196850</xdr:rowOff>
    </xdr:to>
    <xdr:sp macro="" textlink="">
      <xdr:nvSpPr>
        <xdr:cNvPr id="626" name="왼쪽으로 구부러진 화살표 62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165</xdr:row>
      <xdr:rowOff>0</xdr:rowOff>
    </xdr:from>
    <xdr:to>
      <xdr:col>9</xdr:col>
      <xdr:colOff>260350</xdr:colOff>
      <xdr:row>166</xdr:row>
      <xdr:rowOff>196850</xdr:rowOff>
    </xdr:to>
    <xdr:sp macro="" textlink="">
      <xdr:nvSpPr>
        <xdr:cNvPr id="627" name="왼쪽으로 구부러진 화살표 62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169</xdr:row>
      <xdr:rowOff>0</xdr:rowOff>
    </xdr:from>
    <xdr:to>
      <xdr:col>9</xdr:col>
      <xdr:colOff>260350</xdr:colOff>
      <xdr:row>170</xdr:row>
      <xdr:rowOff>196850</xdr:rowOff>
    </xdr:to>
    <xdr:sp macro="" textlink="">
      <xdr:nvSpPr>
        <xdr:cNvPr id="628" name="왼쪽으로 구부러진 화살표 62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171</xdr:row>
      <xdr:rowOff>0</xdr:rowOff>
    </xdr:from>
    <xdr:to>
      <xdr:col>9</xdr:col>
      <xdr:colOff>260350</xdr:colOff>
      <xdr:row>172</xdr:row>
      <xdr:rowOff>196850</xdr:rowOff>
    </xdr:to>
    <xdr:sp macro="" textlink="">
      <xdr:nvSpPr>
        <xdr:cNvPr id="629" name="왼쪽으로 구부러진 화살표 62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176</xdr:row>
      <xdr:rowOff>0</xdr:rowOff>
    </xdr:from>
    <xdr:to>
      <xdr:col>9</xdr:col>
      <xdr:colOff>260350</xdr:colOff>
      <xdr:row>177</xdr:row>
      <xdr:rowOff>196850</xdr:rowOff>
    </xdr:to>
    <xdr:sp macro="" textlink="">
      <xdr:nvSpPr>
        <xdr:cNvPr id="630" name="왼쪽으로 구부러진 화살표 62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174</xdr:row>
      <xdr:rowOff>0</xdr:rowOff>
    </xdr:from>
    <xdr:to>
      <xdr:col>9</xdr:col>
      <xdr:colOff>260350</xdr:colOff>
      <xdr:row>175</xdr:row>
      <xdr:rowOff>196850</xdr:rowOff>
    </xdr:to>
    <xdr:sp macro="" textlink="">
      <xdr:nvSpPr>
        <xdr:cNvPr id="631" name="왼쪽으로 구부러진 화살표 63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178</xdr:row>
      <xdr:rowOff>0</xdr:rowOff>
    </xdr:from>
    <xdr:to>
      <xdr:col>9</xdr:col>
      <xdr:colOff>260350</xdr:colOff>
      <xdr:row>179</xdr:row>
      <xdr:rowOff>196850</xdr:rowOff>
    </xdr:to>
    <xdr:sp macro="" textlink="">
      <xdr:nvSpPr>
        <xdr:cNvPr id="632" name="왼쪽으로 구부러진 화살표 63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180</xdr:row>
      <xdr:rowOff>0</xdr:rowOff>
    </xdr:from>
    <xdr:to>
      <xdr:col>9</xdr:col>
      <xdr:colOff>260350</xdr:colOff>
      <xdr:row>181</xdr:row>
      <xdr:rowOff>196850</xdr:rowOff>
    </xdr:to>
    <xdr:sp macro="" textlink="">
      <xdr:nvSpPr>
        <xdr:cNvPr id="633" name="왼쪽으로 구부러진 화살표 63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185</xdr:row>
      <xdr:rowOff>0</xdr:rowOff>
    </xdr:from>
    <xdr:to>
      <xdr:col>9</xdr:col>
      <xdr:colOff>260350</xdr:colOff>
      <xdr:row>186</xdr:row>
      <xdr:rowOff>196850</xdr:rowOff>
    </xdr:to>
    <xdr:sp macro="" textlink="">
      <xdr:nvSpPr>
        <xdr:cNvPr id="634" name="왼쪽으로 구부러진 화살표 63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183</xdr:row>
      <xdr:rowOff>0</xdr:rowOff>
    </xdr:from>
    <xdr:to>
      <xdr:col>9</xdr:col>
      <xdr:colOff>260350</xdr:colOff>
      <xdr:row>184</xdr:row>
      <xdr:rowOff>196850</xdr:rowOff>
    </xdr:to>
    <xdr:sp macro="" textlink="">
      <xdr:nvSpPr>
        <xdr:cNvPr id="635" name="왼쪽으로 구부러진 화살표 63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187</xdr:row>
      <xdr:rowOff>0</xdr:rowOff>
    </xdr:from>
    <xdr:to>
      <xdr:col>9</xdr:col>
      <xdr:colOff>260350</xdr:colOff>
      <xdr:row>188</xdr:row>
      <xdr:rowOff>196850</xdr:rowOff>
    </xdr:to>
    <xdr:sp macro="" textlink="">
      <xdr:nvSpPr>
        <xdr:cNvPr id="636" name="왼쪽으로 구부러진 화살표 63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189</xdr:row>
      <xdr:rowOff>0</xdr:rowOff>
    </xdr:from>
    <xdr:to>
      <xdr:col>9</xdr:col>
      <xdr:colOff>260350</xdr:colOff>
      <xdr:row>190</xdr:row>
      <xdr:rowOff>196850</xdr:rowOff>
    </xdr:to>
    <xdr:sp macro="" textlink="">
      <xdr:nvSpPr>
        <xdr:cNvPr id="637" name="왼쪽으로 구부러진 화살표 63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194</xdr:row>
      <xdr:rowOff>0</xdr:rowOff>
    </xdr:from>
    <xdr:to>
      <xdr:col>9</xdr:col>
      <xdr:colOff>260350</xdr:colOff>
      <xdr:row>195</xdr:row>
      <xdr:rowOff>196850</xdr:rowOff>
    </xdr:to>
    <xdr:sp macro="" textlink="">
      <xdr:nvSpPr>
        <xdr:cNvPr id="638" name="왼쪽으로 구부러진 화살표 63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192</xdr:row>
      <xdr:rowOff>0</xdr:rowOff>
    </xdr:from>
    <xdr:to>
      <xdr:col>9</xdr:col>
      <xdr:colOff>260350</xdr:colOff>
      <xdr:row>193</xdr:row>
      <xdr:rowOff>196850</xdr:rowOff>
    </xdr:to>
    <xdr:sp macro="" textlink="">
      <xdr:nvSpPr>
        <xdr:cNvPr id="639" name="왼쪽으로 구부러진 화살표 63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196</xdr:row>
      <xdr:rowOff>0</xdr:rowOff>
    </xdr:from>
    <xdr:to>
      <xdr:col>9</xdr:col>
      <xdr:colOff>260350</xdr:colOff>
      <xdr:row>197</xdr:row>
      <xdr:rowOff>196850</xdr:rowOff>
    </xdr:to>
    <xdr:sp macro="" textlink="">
      <xdr:nvSpPr>
        <xdr:cNvPr id="640" name="왼쪽으로 구부러진 화살표 63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198</xdr:row>
      <xdr:rowOff>0</xdr:rowOff>
    </xdr:from>
    <xdr:to>
      <xdr:col>9</xdr:col>
      <xdr:colOff>260350</xdr:colOff>
      <xdr:row>199</xdr:row>
      <xdr:rowOff>196850</xdr:rowOff>
    </xdr:to>
    <xdr:sp macro="" textlink="">
      <xdr:nvSpPr>
        <xdr:cNvPr id="641" name="왼쪽으로 구부러진 화살표 64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203</xdr:row>
      <xdr:rowOff>0</xdr:rowOff>
    </xdr:from>
    <xdr:to>
      <xdr:col>9</xdr:col>
      <xdr:colOff>260350</xdr:colOff>
      <xdr:row>204</xdr:row>
      <xdr:rowOff>196850</xdr:rowOff>
    </xdr:to>
    <xdr:sp macro="" textlink="">
      <xdr:nvSpPr>
        <xdr:cNvPr id="642" name="왼쪽으로 구부러진 화살표 64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201</xdr:row>
      <xdr:rowOff>0</xdr:rowOff>
    </xdr:from>
    <xdr:to>
      <xdr:col>9</xdr:col>
      <xdr:colOff>260350</xdr:colOff>
      <xdr:row>202</xdr:row>
      <xdr:rowOff>196850</xdr:rowOff>
    </xdr:to>
    <xdr:sp macro="" textlink="">
      <xdr:nvSpPr>
        <xdr:cNvPr id="643" name="왼쪽으로 구부러진 화살표 64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205</xdr:row>
      <xdr:rowOff>0</xdr:rowOff>
    </xdr:from>
    <xdr:to>
      <xdr:col>9</xdr:col>
      <xdr:colOff>260350</xdr:colOff>
      <xdr:row>206</xdr:row>
      <xdr:rowOff>196850</xdr:rowOff>
    </xdr:to>
    <xdr:sp macro="" textlink="">
      <xdr:nvSpPr>
        <xdr:cNvPr id="644" name="왼쪽으로 구부러진 화살표 64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207</xdr:row>
      <xdr:rowOff>0</xdr:rowOff>
    </xdr:from>
    <xdr:to>
      <xdr:col>9</xdr:col>
      <xdr:colOff>260350</xdr:colOff>
      <xdr:row>208</xdr:row>
      <xdr:rowOff>196850</xdr:rowOff>
    </xdr:to>
    <xdr:sp macro="" textlink="">
      <xdr:nvSpPr>
        <xdr:cNvPr id="645" name="왼쪽으로 구부러진 화살표 64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212</xdr:row>
      <xdr:rowOff>0</xdr:rowOff>
    </xdr:from>
    <xdr:to>
      <xdr:col>9</xdr:col>
      <xdr:colOff>260350</xdr:colOff>
      <xdr:row>213</xdr:row>
      <xdr:rowOff>196850</xdr:rowOff>
    </xdr:to>
    <xdr:sp macro="" textlink="">
      <xdr:nvSpPr>
        <xdr:cNvPr id="646" name="왼쪽으로 구부러진 화살표 64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210</xdr:row>
      <xdr:rowOff>0</xdr:rowOff>
    </xdr:from>
    <xdr:to>
      <xdr:col>9</xdr:col>
      <xdr:colOff>260350</xdr:colOff>
      <xdr:row>211</xdr:row>
      <xdr:rowOff>196850</xdr:rowOff>
    </xdr:to>
    <xdr:sp macro="" textlink="">
      <xdr:nvSpPr>
        <xdr:cNvPr id="647" name="왼쪽으로 구부러진 화살표 64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214</xdr:row>
      <xdr:rowOff>0</xdr:rowOff>
    </xdr:from>
    <xdr:to>
      <xdr:col>9</xdr:col>
      <xdr:colOff>260350</xdr:colOff>
      <xdr:row>215</xdr:row>
      <xdr:rowOff>196850</xdr:rowOff>
    </xdr:to>
    <xdr:sp macro="" textlink="">
      <xdr:nvSpPr>
        <xdr:cNvPr id="648" name="왼쪽으로 구부러진 화살표 64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216</xdr:row>
      <xdr:rowOff>0</xdr:rowOff>
    </xdr:from>
    <xdr:to>
      <xdr:col>9</xdr:col>
      <xdr:colOff>260350</xdr:colOff>
      <xdr:row>217</xdr:row>
      <xdr:rowOff>196850</xdr:rowOff>
    </xdr:to>
    <xdr:sp macro="" textlink="">
      <xdr:nvSpPr>
        <xdr:cNvPr id="649" name="왼쪽으로 구부러진 화살표 64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221</xdr:row>
      <xdr:rowOff>0</xdr:rowOff>
    </xdr:from>
    <xdr:to>
      <xdr:col>9</xdr:col>
      <xdr:colOff>260350</xdr:colOff>
      <xdr:row>222</xdr:row>
      <xdr:rowOff>196850</xdr:rowOff>
    </xdr:to>
    <xdr:sp macro="" textlink="">
      <xdr:nvSpPr>
        <xdr:cNvPr id="650" name="왼쪽으로 구부러진 화살표 64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219</xdr:row>
      <xdr:rowOff>0</xdr:rowOff>
    </xdr:from>
    <xdr:to>
      <xdr:col>9</xdr:col>
      <xdr:colOff>260350</xdr:colOff>
      <xdr:row>220</xdr:row>
      <xdr:rowOff>196850</xdr:rowOff>
    </xdr:to>
    <xdr:sp macro="" textlink="">
      <xdr:nvSpPr>
        <xdr:cNvPr id="651" name="왼쪽으로 구부러진 화살표 65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223</xdr:row>
      <xdr:rowOff>0</xdr:rowOff>
    </xdr:from>
    <xdr:to>
      <xdr:col>9</xdr:col>
      <xdr:colOff>260350</xdr:colOff>
      <xdr:row>224</xdr:row>
      <xdr:rowOff>196850</xdr:rowOff>
    </xdr:to>
    <xdr:sp macro="" textlink="">
      <xdr:nvSpPr>
        <xdr:cNvPr id="652" name="왼쪽으로 구부러진 화살표 65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225</xdr:row>
      <xdr:rowOff>0</xdr:rowOff>
    </xdr:from>
    <xdr:to>
      <xdr:col>9</xdr:col>
      <xdr:colOff>260350</xdr:colOff>
      <xdr:row>226</xdr:row>
      <xdr:rowOff>196850</xdr:rowOff>
    </xdr:to>
    <xdr:sp macro="" textlink="">
      <xdr:nvSpPr>
        <xdr:cNvPr id="653" name="왼쪽으로 구부러진 화살표 65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230</xdr:row>
      <xdr:rowOff>0</xdr:rowOff>
    </xdr:from>
    <xdr:to>
      <xdr:col>9</xdr:col>
      <xdr:colOff>260350</xdr:colOff>
      <xdr:row>231</xdr:row>
      <xdr:rowOff>196850</xdr:rowOff>
    </xdr:to>
    <xdr:sp macro="" textlink="">
      <xdr:nvSpPr>
        <xdr:cNvPr id="654" name="왼쪽으로 구부러진 화살표 65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228</xdr:row>
      <xdr:rowOff>0</xdr:rowOff>
    </xdr:from>
    <xdr:to>
      <xdr:col>9</xdr:col>
      <xdr:colOff>260350</xdr:colOff>
      <xdr:row>229</xdr:row>
      <xdr:rowOff>196850</xdr:rowOff>
    </xdr:to>
    <xdr:sp macro="" textlink="">
      <xdr:nvSpPr>
        <xdr:cNvPr id="655" name="왼쪽으로 구부러진 화살표 65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232</xdr:row>
      <xdr:rowOff>0</xdr:rowOff>
    </xdr:from>
    <xdr:to>
      <xdr:col>9</xdr:col>
      <xdr:colOff>260350</xdr:colOff>
      <xdr:row>233</xdr:row>
      <xdr:rowOff>196850</xdr:rowOff>
    </xdr:to>
    <xdr:sp macro="" textlink="">
      <xdr:nvSpPr>
        <xdr:cNvPr id="656" name="왼쪽으로 구부러진 화살표 65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234</xdr:row>
      <xdr:rowOff>0</xdr:rowOff>
    </xdr:from>
    <xdr:to>
      <xdr:col>9</xdr:col>
      <xdr:colOff>260350</xdr:colOff>
      <xdr:row>235</xdr:row>
      <xdr:rowOff>196850</xdr:rowOff>
    </xdr:to>
    <xdr:sp macro="" textlink="">
      <xdr:nvSpPr>
        <xdr:cNvPr id="657" name="왼쪽으로 구부러진 화살표 65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239</xdr:row>
      <xdr:rowOff>0</xdr:rowOff>
    </xdr:from>
    <xdr:to>
      <xdr:col>9</xdr:col>
      <xdr:colOff>260350</xdr:colOff>
      <xdr:row>240</xdr:row>
      <xdr:rowOff>196850</xdr:rowOff>
    </xdr:to>
    <xdr:sp macro="" textlink="">
      <xdr:nvSpPr>
        <xdr:cNvPr id="658" name="왼쪽으로 구부러진 화살표 65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237</xdr:row>
      <xdr:rowOff>0</xdr:rowOff>
    </xdr:from>
    <xdr:to>
      <xdr:col>9</xdr:col>
      <xdr:colOff>260350</xdr:colOff>
      <xdr:row>238</xdr:row>
      <xdr:rowOff>196850</xdr:rowOff>
    </xdr:to>
    <xdr:sp macro="" textlink="">
      <xdr:nvSpPr>
        <xdr:cNvPr id="659" name="왼쪽으로 구부러진 화살표 65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241</xdr:row>
      <xdr:rowOff>0</xdr:rowOff>
    </xdr:from>
    <xdr:to>
      <xdr:col>9</xdr:col>
      <xdr:colOff>260350</xdr:colOff>
      <xdr:row>242</xdr:row>
      <xdr:rowOff>196850</xdr:rowOff>
    </xdr:to>
    <xdr:sp macro="" textlink="">
      <xdr:nvSpPr>
        <xdr:cNvPr id="660" name="왼쪽으로 구부러진 화살표 65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243</xdr:row>
      <xdr:rowOff>0</xdr:rowOff>
    </xdr:from>
    <xdr:to>
      <xdr:col>9</xdr:col>
      <xdr:colOff>260350</xdr:colOff>
      <xdr:row>244</xdr:row>
      <xdr:rowOff>196850</xdr:rowOff>
    </xdr:to>
    <xdr:sp macro="" textlink="">
      <xdr:nvSpPr>
        <xdr:cNvPr id="661" name="왼쪽으로 구부러진 화살표 66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248</xdr:row>
      <xdr:rowOff>0</xdr:rowOff>
    </xdr:from>
    <xdr:to>
      <xdr:col>9</xdr:col>
      <xdr:colOff>260350</xdr:colOff>
      <xdr:row>249</xdr:row>
      <xdr:rowOff>196850</xdr:rowOff>
    </xdr:to>
    <xdr:sp macro="" textlink="">
      <xdr:nvSpPr>
        <xdr:cNvPr id="662" name="왼쪽으로 구부러진 화살표 66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</xdr:row>
      <xdr:rowOff>0</xdr:rowOff>
    </xdr:from>
    <xdr:to>
      <xdr:col>9</xdr:col>
      <xdr:colOff>260350</xdr:colOff>
      <xdr:row>247</xdr:row>
      <xdr:rowOff>196850</xdr:rowOff>
    </xdr:to>
    <xdr:sp macro="" textlink="">
      <xdr:nvSpPr>
        <xdr:cNvPr id="663" name="왼쪽으로 구부러진 화살표 66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250</xdr:row>
      <xdr:rowOff>0</xdr:rowOff>
    </xdr:from>
    <xdr:to>
      <xdr:col>9</xdr:col>
      <xdr:colOff>260350</xdr:colOff>
      <xdr:row>251</xdr:row>
      <xdr:rowOff>196850</xdr:rowOff>
    </xdr:to>
    <xdr:sp macro="" textlink="">
      <xdr:nvSpPr>
        <xdr:cNvPr id="664" name="왼쪽으로 구부러진 화살표 66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252</xdr:row>
      <xdr:rowOff>0</xdr:rowOff>
    </xdr:from>
    <xdr:to>
      <xdr:col>9</xdr:col>
      <xdr:colOff>260350</xdr:colOff>
      <xdr:row>253</xdr:row>
      <xdr:rowOff>196850</xdr:rowOff>
    </xdr:to>
    <xdr:sp macro="" textlink="">
      <xdr:nvSpPr>
        <xdr:cNvPr id="665" name="왼쪽으로 구부러진 화살표 66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257</xdr:row>
      <xdr:rowOff>0</xdr:rowOff>
    </xdr:from>
    <xdr:to>
      <xdr:col>9</xdr:col>
      <xdr:colOff>260350</xdr:colOff>
      <xdr:row>258</xdr:row>
      <xdr:rowOff>196850</xdr:rowOff>
    </xdr:to>
    <xdr:sp macro="" textlink="">
      <xdr:nvSpPr>
        <xdr:cNvPr id="666" name="왼쪽으로 구부러진 화살표 66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255</xdr:row>
      <xdr:rowOff>0</xdr:rowOff>
    </xdr:from>
    <xdr:to>
      <xdr:col>9</xdr:col>
      <xdr:colOff>260350</xdr:colOff>
      <xdr:row>256</xdr:row>
      <xdr:rowOff>196850</xdr:rowOff>
    </xdr:to>
    <xdr:sp macro="" textlink="">
      <xdr:nvSpPr>
        <xdr:cNvPr id="667" name="왼쪽으로 구부러진 화살표 66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259</xdr:row>
      <xdr:rowOff>0</xdr:rowOff>
    </xdr:from>
    <xdr:to>
      <xdr:col>9</xdr:col>
      <xdr:colOff>260350</xdr:colOff>
      <xdr:row>260</xdr:row>
      <xdr:rowOff>196850</xdr:rowOff>
    </xdr:to>
    <xdr:sp macro="" textlink="">
      <xdr:nvSpPr>
        <xdr:cNvPr id="668" name="왼쪽으로 구부러진 화살표 66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261</xdr:row>
      <xdr:rowOff>0</xdr:rowOff>
    </xdr:from>
    <xdr:to>
      <xdr:col>9</xdr:col>
      <xdr:colOff>260350</xdr:colOff>
      <xdr:row>262</xdr:row>
      <xdr:rowOff>196850</xdr:rowOff>
    </xdr:to>
    <xdr:sp macro="" textlink="">
      <xdr:nvSpPr>
        <xdr:cNvPr id="669" name="왼쪽으로 구부러진 화살표 66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266</xdr:row>
      <xdr:rowOff>0</xdr:rowOff>
    </xdr:from>
    <xdr:to>
      <xdr:col>9</xdr:col>
      <xdr:colOff>260350</xdr:colOff>
      <xdr:row>267</xdr:row>
      <xdr:rowOff>196850</xdr:rowOff>
    </xdr:to>
    <xdr:sp macro="" textlink="">
      <xdr:nvSpPr>
        <xdr:cNvPr id="670" name="왼쪽으로 구부러진 화살표 66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264</xdr:row>
      <xdr:rowOff>0</xdr:rowOff>
    </xdr:from>
    <xdr:to>
      <xdr:col>9</xdr:col>
      <xdr:colOff>260350</xdr:colOff>
      <xdr:row>265</xdr:row>
      <xdr:rowOff>196850</xdr:rowOff>
    </xdr:to>
    <xdr:sp macro="" textlink="">
      <xdr:nvSpPr>
        <xdr:cNvPr id="671" name="왼쪽으로 구부러진 화살표 67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268</xdr:row>
      <xdr:rowOff>0</xdr:rowOff>
    </xdr:from>
    <xdr:to>
      <xdr:col>9</xdr:col>
      <xdr:colOff>260350</xdr:colOff>
      <xdr:row>269</xdr:row>
      <xdr:rowOff>196850</xdr:rowOff>
    </xdr:to>
    <xdr:sp macro="" textlink="">
      <xdr:nvSpPr>
        <xdr:cNvPr id="672" name="왼쪽으로 구부러진 화살표 67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270</xdr:row>
      <xdr:rowOff>0</xdr:rowOff>
    </xdr:from>
    <xdr:to>
      <xdr:col>9</xdr:col>
      <xdr:colOff>260350</xdr:colOff>
      <xdr:row>271</xdr:row>
      <xdr:rowOff>196850</xdr:rowOff>
    </xdr:to>
    <xdr:sp macro="" textlink="">
      <xdr:nvSpPr>
        <xdr:cNvPr id="673" name="왼쪽으로 구부러진 화살표 67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275</xdr:row>
      <xdr:rowOff>0</xdr:rowOff>
    </xdr:from>
    <xdr:to>
      <xdr:col>9</xdr:col>
      <xdr:colOff>260350</xdr:colOff>
      <xdr:row>276</xdr:row>
      <xdr:rowOff>196850</xdr:rowOff>
    </xdr:to>
    <xdr:sp macro="" textlink="">
      <xdr:nvSpPr>
        <xdr:cNvPr id="674" name="왼쪽으로 구부러진 화살표 67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273</xdr:row>
      <xdr:rowOff>0</xdr:rowOff>
    </xdr:from>
    <xdr:to>
      <xdr:col>9</xdr:col>
      <xdr:colOff>260350</xdr:colOff>
      <xdr:row>274</xdr:row>
      <xdr:rowOff>196850</xdr:rowOff>
    </xdr:to>
    <xdr:sp macro="" textlink="">
      <xdr:nvSpPr>
        <xdr:cNvPr id="675" name="왼쪽으로 구부러진 화살표 67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277</xdr:row>
      <xdr:rowOff>0</xdr:rowOff>
    </xdr:from>
    <xdr:to>
      <xdr:col>9</xdr:col>
      <xdr:colOff>260350</xdr:colOff>
      <xdr:row>278</xdr:row>
      <xdr:rowOff>196850</xdr:rowOff>
    </xdr:to>
    <xdr:sp macro="" textlink="">
      <xdr:nvSpPr>
        <xdr:cNvPr id="676" name="왼쪽으로 구부러진 화살표 67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279</xdr:row>
      <xdr:rowOff>0</xdr:rowOff>
    </xdr:from>
    <xdr:to>
      <xdr:col>9</xdr:col>
      <xdr:colOff>260350</xdr:colOff>
      <xdr:row>280</xdr:row>
      <xdr:rowOff>196850</xdr:rowOff>
    </xdr:to>
    <xdr:sp macro="" textlink="">
      <xdr:nvSpPr>
        <xdr:cNvPr id="677" name="왼쪽으로 구부러진 화살표 67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284</xdr:row>
      <xdr:rowOff>0</xdr:rowOff>
    </xdr:from>
    <xdr:to>
      <xdr:col>9</xdr:col>
      <xdr:colOff>260350</xdr:colOff>
      <xdr:row>285</xdr:row>
      <xdr:rowOff>196850</xdr:rowOff>
    </xdr:to>
    <xdr:sp macro="" textlink="">
      <xdr:nvSpPr>
        <xdr:cNvPr id="678" name="왼쪽으로 구부러진 화살표 67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282</xdr:row>
      <xdr:rowOff>0</xdr:rowOff>
    </xdr:from>
    <xdr:to>
      <xdr:col>9</xdr:col>
      <xdr:colOff>260350</xdr:colOff>
      <xdr:row>283</xdr:row>
      <xdr:rowOff>196850</xdr:rowOff>
    </xdr:to>
    <xdr:sp macro="" textlink="">
      <xdr:nvSpPr>
        <xdr:cNvPr id="679" name="왼쪽으로 구부러진 화살표 67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286</xdr:row>
      <xdr:rowOff>0</xdr:rowOff>
    </xdr:from>
    <xdr:to>
      <xdr:col>9</xdr:col>
      <xdr:colOff>260350</xdr:colOff>
      <xdr:row>287</xdr:row>
      <xdr:rowOff>196850</xdr:rowOff>
    </xdr:to>
    <xdr:sp macro="" textlink="">
      <xdr:nvSpPr>
        <xdr:cNvPr id="680" name="왼쪽으로 구부러진 화살표 67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288</xdr:row>
      <xdr:rowOff>0</xdr:rowOff>
    </xdr:from>
    <xdr:to>
      <xdr:col>9</xdr:col>
      <xdr:colOff>260350</xdr:colOff>
      <xdr:row>289</xdr:row>
      <xdr:rowOff>196850</xdr:rowOff>
    </xdr:to>
    <xdr:sp macro="" textlink="">
      <xdr:nvSpPr>
        <xdr:cNvPr id="681" name="왼쪽으로 구부러진 화살표 68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293</xdr:row>
      <xdr:rowOff>0</xdr:rowOff>
    </xdr:from>
    <xdr:to>
      <xdr:col>9</xdr:col>
      <xdr:colOff>260350</xdr:colOff>
      <xdr:row>294</xdr:row>
      <xdr:rowOff>196850</xdr:rowOff>
    </xdr:to>
    <xdr:sp macro="" textlink="">
      <xdr:nvSpPr>
        <xdr:cNvPr id="682" name="왼쪽으로 구부러진 화살표 68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291</xdr:row>
      <xdr:rowOff>0</xdr:rowOff>
    </xdr:from>
    <xdr:to>
      <xdr:col>9</xdr:col>
      <xdr:colOff>260350</xdr:colOff>
      <xdr:row>292</xdr:row>
      <xdr:rowOff>196850</xdr:rowOff>
    </xdr:to>
    <xdr:sp macro="" textlink="">
      <xdr:nvSpPr>
        <xdr:cNvPr id="683" name="왼쪽으로 구부러진 화살표 68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295</xdr:row>
      <xdr:rowOff>0</xdr:rowOff>
    </xdr:from>
    <xdr:to>
      <xdr:col>9</xdr:col>
      <xdr:colOff>260350</xdr:colOff>
      <xdr:row>296</xdr:row>
      <xdr:rowOff>196850</xdr:rowOff>
    </xdr:to>
    <xdr:sp macro="" textlink="">
      <xdr:nvSpPr>
        <xdr:cNvPr id="684" name="왼쪽으로 구부러진 화살표 68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297</xdr:row>
      <xdr:rowOff>0</xdr:rowOff>
    </xdr:from>
    <xdr:to>
      <xdr:col>9</xdr:col>
      <xdr:colOff>260350</xdr:colOff>
      <xdr:row>298</xdr:row>
      <xdr:rowOff>196850</xdr:rowOff>
    </xdr:to>
    <xdr:sp macro="" textlink="">
      <xdr:nvSpPr>
        <xdr:cNvPr id="685" name="왼쪽으로 구부러진 화살표 68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302</xdr:row>
      <xdr:rowOff>0</xdr:rowOff>
    </xdr:from>
    <xdr:to>
      <xdr:col>9</xdr:col>
      <xdr:colOff>260350</xdr:colOff>
      <xdr:row>303</xdr:row>
      <xdr:rowOff>196850</xdr:rowOff>
    </xdr:to>
    <xdr:sp macro="" textlink="">
      <xdr:nvSpPr>
        <xdr:cNvPr id="686" name="왼쪽으로 구부러진 화살표 68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300</xdr:row>
      <xdr:rowOff>0</xdr:rowOff>
    </xdr:from>
    <xdr:to>
      <xdr:col>9</xdr:col>
      <xdr:colOff>260350</xdr:colOff>
      <xdr:row>301</xdr:row>
      <xdr:rowOff>196850</xdr:rowOff>
    </xdr:to>
    <xdr:sp macro="" textlink="">
      <xdr:nvSpPr>
        <xdr:cNvPr id="687" name="왼쪽으로 구부러진 화살표 68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304</xdr:row>
      <xdr:rowOff>0</xdr:rowOff>
    </xdr:from>
    <xdr:to>
      <xdr:col>9</xdr:col>
      <xdr:colOff>260350</xdr:colOff>
      <xdr:row>305</xdr:row>
      <xdr:rowOff>196850</xdr:rowOff>
    </xdr:to>
    <xdr:sp macro="" textlink="">
      <xdr:nvSpPr>
        <xdr:cNvPr id="688" name="왼쪽으로 구부러진 화살표 68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306</xdr:row>
      <xdr:rowOff>0</xdr:rowOff>
    </xdr:from>
    <xdr:to>
      <xdr:col>9</xdr:col>
      <xdr:colOff>260350</xdr:colOff>
      <xdr:row>307</xdr:row>
      <xdr:rowOff>196850</xdr:rowOff>
    </xdr:to>
    <xdr:sp macro="" textlink="">
      <xdr:nvSpPr>
        <xdr:cNvPr id="689" name="왼쪽으로 구부러진 화살표 68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311</xdr:row>
      <xdr:rowOff>0</xdr:rowOff>
    </xdr:from>
    <xdr:to>
      <xdr:col>9</xdr:col>
      <xdr:colOff>260350</xdr:colOff>
      <xdr:row>312</xdr:row>
      <xdr:rowOff>196850</xdr:rowOff>
    </xdr:to>
    <xdr:sp macro="" textlink="">
      <xdr:nvSpPr>
        <xdr:cNvPr id="690" name="왼쪽으로 구부러진 화살표 68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309</xdr:row>
      <xdr:rowOff>0</xdr:rowOff>
    </xdr:from>
    <xdr:to>
      <xdr:col>9</xdr:col>
      <xdr:colOff>260350</xdr:colOff>
      <xdr:row>310</xdr:row>
      <xdr:rowOff>196850</xdr:rowOff>
    </xdr:to>
    <xdr:sp macro="" textlink="">
      <xdr:nvSpPr>
        <xdr:cNvPr id="691" name="왼쪽으로 구부러진 화살표 69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313</xdr:row>
      <xdr:rowOff>0</xdr:rowOff>
    </xdr:from>
    <xdr:to>
      <xdr:col>9</xdr:col>
      <xdr:colOff>260350</xdr:colOff>
      <xdr:row>314</xdr:row>
      <xdr:rowOff>196850</xdr:rowOff>
    </xdr:to>
    <xdr:sp macro="" textlink="">
      <xdr:nvSpPr>
        <xdr:cNvPr id="692" name="왼쪽으로 구부러진 화살표 69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315</xdr:row>
      <xdr:rowOff>0</xdr:rowOff>
    </xdr:from>
    <xdr:to>
      <xdr:col>9</xdr:col>
      <xdr:colOff>260350</xdr:colOff>
      <xdr:row>316</xdr:row>
      <xdr:rowOff>196850</xdr:rowOff>
    </xdr:to>
    <xdr:sp macro="" textlink="">
      <xdr:nvSpPr>
        <xdr:cNvPr id="693" name="왼쪽으로 구부러진 화살표 69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320</xdr:row>
      <xdr:rowOff>0</xdr:rowOff>
    </xdr:from>
    <xdr:to>
      <xdr:col>9</xdr:col>
      <xdr:colOff>260350</xdr:colOff>
      <xdr:row>321</xdr:row>
      <xdr:rowOff>196850</xdr:rowOff>
    </xdr:to>
    <xdr:sp macro="" textlink="">
      <xdr:nvSpPr>
        <xdr:cNvPr id="694" name="왼쪽으로 구부러진 화살표 69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318</xdr:row>
      <xdr:rowOff>0</xdr:rowOff>
    </xdr:from>
    <xdr:to>
      <xdr:col>9</xdr:col>
      <xdr:colOff>260350</xdr:colOff>
      <xdr:row>319</xdr:row>
      <xdr:rowOff>196850</xdr:rowOff>
    </xdr:to>
    <xdr:sp macro="" textlink="">
      <xdr:nvSpPr>
        <xdr:cNvPr id="695" name="왼쪽으로 구부러진 화살표 69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322</xdr:row>
      <xdr:rowOff>0</xdr:rowOff>
    </xdr:from>
    <xdr:to>
      <xdr:col>9</xdr:col>
      <xdr:colOff>260350</xdr:colOff>
      <xdr:row>323</xdr:row>
      <xdr:rowOff>196850</xdr:rowOff>
    </xdr:to>
    <xdr:sp macro="" textlink="">
      <xdr:nvSpPr>
        <xdr:cNvPr id="696" name="왼쪽으로 구부러진 화살표 69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324</xdr:row>
      <xdr:rowOff>0</xdr:rowOff>
    </xdr:from>
    <xdr:to>
      <xdr:col>9</xdr:col>
      <xdr:colOff>260350</xdr:colOff>
      <xdr:row>325</xdr:row>
      <xdr:rowOff>196850</xdr:rowOff>
    </xdr:to>
    <xdr:sp macro="" textlink="">
      <xdr:nvSpPr>
        <xdr:cNvPr id="697" name="왼쪽으로 구부러진 화살표 69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329</xdr:row>
      <xdr:rowOff>0</xdr:rowOff>
    </xdr:from>
    <xdr:to>
      <xdr:col>9</xdr:col>
      <xdr:colOff>260350</xdr:colOff>
      <xdr:row>330</xdr:row>
      <xdr:rowOff>196850</xdr:rowOff>
    </xdr:to>
    <xdr:sp macro="" textlink="">
      <xdr:nvSpPr>
        <xdr:cNvPr id="698" name="왼쪽으로 구부러진 화살표 69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327</xdr:row>
      <xdr:rowOff>0</xdr:rowOff>
    </xdr:from>
    <xdr:to>
      <xdr:col>9</xdr:col>
      <xdr:colOff>260350</xdr:colOff>
      <xdr:row>328</xdr:row>
      <xdr:rowOff>196850</xdr:rowOff>
    </xdr:to>
    <xdr:sp macro="" textlink="">
      <xdr:nvSpPr>
        <xdr:cNvPr id="699" name="왼쪽으로 구부러진 화살표 69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331</xdr:row>
      <xdr:rowOff>0</xdr:rowOff>
    </xdr:from>
    <xdr:to>
      <xdr:col>9</xdr:col>
      <xdr:colOff>260350</xdr:colOff>
      <xdr:row>332</xdr:row>
      <xdr:rowOff>196850</xdr:rowOff>
    </xdr:to>
    <xdr:sp macro="" textlink="">
      <xdr:nvSpPr>
        <xdr:cNvPr id="700" name="왼쪽으로 구부러진 화살표 69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333</xdr:row>
      <xdr:rowOff>0</xdr:rowOff>
    </xdr:from>
    <xdr:to>
      <xdr:col>9</xdr:col>
      <xdr:colOff>260350</xdr:colOff>
      <xdr:row>334</xdr:row>
      <xdr:rowOff>196850</xdr:rowOff>
    </xdr:to>
    <xdr:sp macro="" textlink="">
      <xdr:nvSpPr>
        <xdr:cNvPr id="701" name="왼쪽으로 구부러진 화살표 70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338</xdr:row>
      <xdr:rowOff>0</xdr:rowOff>
    </xdr:from>
    <xdr:to>
      <xdr:col>9</xdr:col>
      <xdr:colOff>260350</xdr:colOff>
      <xdr:row>339</xdr:row>
      <xdr:rowOff>196850</xdr:rowOff>
    </xdr:to>
    <xdr:sp macro="" textlink="">
      <xdr:nvSpPr>
        <xdr:cNvPr id="702" name="왼쪽으로 구부러진 화살표 70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336</xdr:row>
      <xdr:rowOff>0</xdr:rowOff>
    </xdr:from>
    <xdr:to>
      <xdr:col>9</xdr:col>
      <xdr:colOff>260350</xdr:colOff>
      <xdr:row>337</xdr:row>
      <xdr:rowOff>196850</xdr:rowOff>
    </xdr:to>
    <xdr:sp macro="" textlink="">
      <xdr:nvSpPr>
        <xdr:cNvPr id="703" name="왼쪽으로 구부러진 화살표 70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340</xdr:row>
      <xdr:rowOff>0</xdr:rowOff>
    </xdr:from>
    <xdr:to>
      <xdr:col>9</xdr:col>
      <xdr:colOff>260350</xdr:colOff>
      <xdr:row>341</xdr:row>
      <xdr:rowOff>196850</xdr:rowOff>
    </xdr:to>
    <xdr:sp macro="" textlink="">
      <xdr:nvSpPr>
        <xdr:cNvPr id="704" name="왼쪽으로 구부러진 화살표 70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342</xdr:row>
      <xdr:rowOff>0</xdr:rowOff>
    </xdr:from>
    <xdr:to>
      <xdr:col>9</xdr:col>
      <xdr:colOff>260350</xdr:colOff>
      <xdr:row>343</xdr:row>
      <xdr:rowOff>196850</xdr:rowOff>
    </xdr:to>
    <xdr:sp macro="" textlink="">
      <xdr:nvSpPr>
        <xdr:cNvPr id="705" name="왼쪽으로 구부러진 화살표 70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347</xdr:row>
      <xdr:rowOff>0</xdr:rowOff>
    </xdr:from>
    <xdr:to>
      <xdr:col>9</xdr:col>
      <xdr:colOff>260350</xdr:colOff>
      <xdr:row>348</xdr:row>
      <xdr:rowOff>196850</xdr:rowOff>
    </xdr:to>
    <xdr:sp macro="" textlink="">
      <xdr:nvSpPr>
        <xdr:cNvPr id="706" name="왼쪽으로 구부러진 화살표 70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345</xdr:row>
      <xdr:rowOff>0</xdr:rowOff>
    </xdr:from>
    <xdr:to>
      <xdr:col>9</xdr:col>
      <xdr:colOff>260350</xdr:colOff>
      <xdr:row>346</xdr:row>
      <xdr:rowOff>196850</xdr:rowOff>
    </xdr:to>
    <xdr:sp macro="" textlink="">
      <xdr:nvSpPr>
        <xdr:cNvPr id="707" name="왼쪽으로 구부러진 화살표 70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349</xdr:row>
      <xdr:rowOff>0</xdr:rowOff>
    </xdr:from>
    <xdr:to>
      <xdr:col>9</xdr:col>
      <xdr:colOff>260350</xdr:colOff>
      <xdr:row>350</xdr:row>
      <xdr:rowOff>196850</xdr:rowOff>
    </xdr:to>
    <xdr:sp macro="" textlink="">
      <xdr:nvSpPr>
        <xdr:cNvPr id="708" name="왼쪽으로 구부러진 화살표 70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351</xdr:row>
      <xdr:rowOff>0</xdr:rowOff>
    </xdr:from>
    <xdr:to>
      <xdr:col>9</xdr:col>
      <xdr:colOff>260350</xdr:colOff>
      <xdr:row>352</xdr:row>
      <xdr:rowOff>196850</xdr:rowOff>
    </xdr:to>
    <xdr:sp macro="" textlink="">
      <xdr:nvSpPr>
        <xdr:cNvPr id="709" name="왼쪽으로 구부러진 화살표 70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356</xdr:row>
      <xdr:rowOff>0</xdr:rowOff>
    </xdr:from>
    <xdr:to>
      <xdr:col>9</xdr:col>
      <xdr:colOff>260350</xdr:colOff>
      <xdr:row>357</xdr:row>
      <xdr:rowOff>196850</xdr:rowOff>
    </xdr:to>
    <xdr:sp macro="" textlink="">
      <xdr:nvSpPr>
        <xdr:cNvPr id="710" name="왼쪽으로 구부러진 화살표 70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354</xdr:row>
      <xdr:rowOff>0</xdr:rowOff>
    </xdr:from>
    <xdr:to>
      <xdr:col>9</xdr:col>
      <xdr:colOff>260350</xdr:colOff>
      <xdr:row>355</xdr:row>
      <xdr:rowOff>196850</xdr:rowOff>
    </xdr:to>
    <xdr:sp macro="" textlink="">
      <xdr:nvSpPr>
        <xdr:cNvPr id="711" name="왼쪽으로 구부러진 화살표 71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358</xdr:row>
      <xdr:rowOff>0</xdr:rowOff>
    </xdr:from>
    <xdr:to>
      <xdr:col>9</xdr:col>
      <xdr:colOff>260350</xdr:colOff>
      <xdr:row>359</xdr:row>
      <xdr:rowOff>196850</xdr:rowOff>
    </xdr:to>
    <xdr:sp macro="" textlink="">
      <xdr:nvSpPr>
        <xdr:cNvPr id="712" name="왼쪽으로 구부러진 화살표 71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360</xdr:row>
      <xdr:rowOff>0</xdr:rowOff>
    </xdr:from>
    <xdr:to>
      <xdr:col>9</xdr:col>
      <xdr:colOff>260350</xdr:colOff>
      <xdr:row>361</xdr:row>
      <xdr:rowOff>196850</xdr:rowOff>
    </xdr:to>
    <xdr:sp macro="" textlink="">
      <xdr:nvSpPr>
        <xdr:cNvPr id="713" name="왼쪽으로 구부러진 화살표 71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365</xdr:row>
      <xdr:rowOff>0</xdr:rowOff>
    </xdr:from>
    <xdr:to>
      <xdr:col>9</xdr:col>
      <xdr:colOff>260350</xdr:colOff>
      <xdr:row>366</xdr:row>
      <xdr:rowOff>196850</xdr:rowOff>
    </xdr:to>
    <xdr:sp macro="" textlink="">
      <xdr:nvSpPr>
        <xdr:cNvPr id="714" name="왼쪽으로 구부러진 화살표 71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363</xdr:row>
      <xdr:rowOff>0</xdr:rowOff>
    </xdr:from>
    <xdr:to>
      <xdr:col>9</xdr:col>
      <xdr:colOff>260350</xdr:colOff>
      <xdr:row>364</xdr:row>
      <xdr:rowOff>196850</xdr:rowOff>
    </xdr:to>
    <xdr:sp macro="" textlink="">
      <xdr:nvSpPr>
        <xdr:cNvPr id="715" name="왼쪽으로 구부러진 화살표 71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367</xdr:row>
      <xdr:rowOff>0</xdr:rowOff>
    </xdr:from>
    <xdr:to>
      <xdr:col>9</xdr:col>
      <xdr:colOff>260350</xdr:colOff>
      <xdr:row>368</xdr:row>
      <xdr:rowOff>196850</xdr:rowOff>
    </xdr:to>
    <xdr:sp macro="" textlink="">
      <xdr:nvSpPr>
        <xdr:cNvPr id="716" name="왼쪽으로 구부러진 화살표 71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369</xdr:row>
      <xdr:rowOff>0</xdr:rowOff>
    </xdr:from>
    <xdr:to>
      <xdr:col>9</xdr:col>
      <xdr:colOff>260350</xdr:colOff>
      <xdr:row>370</xdr:row>
      <xdr:rowOff>196850</xdr:rowOff>
    </xdr:to>
    <xdr:sp macro="" textlink="">
      <xdr:nvSpPr>
        <xdr:cNvPr id="717" name="왼쪽으로 구부러진 화살표 71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374</xdr:row>
      <xdr:rowOff>0</xdr:rowOff>
    </xdr:from>
    <xdr:to>
      <xdr:col>9</xdr:col>
      <xdr:colOff>260350</xdr:colOff>
      <xdr:row>375</xdr:row>
      <xdr:rowOff>196850</xdr:rowOff>
    </xdr:to>
    <xdr:sp macro="" textlink="">
      <xdr:nvSpPr>
        <xdr:cNvPr id="718" name="왼쪽으로 구부러진 화살표 71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372</xdr:row>
      <xdr:rowOff>0</xdr:rowOff>
    </xdr:from>
    <xdr:to>
      <xdr:col>9</xdr:col>
      <xdr:colOff>260350</xdr:colOff>
      <xdr:row>373</xdr:row>
      <xdr:rowOff>196850</xdr:rowOff>
    </xdr:to>
    <xdr:sp macro="" textlink="">
      <xdr:nvSpPr>
        <xdr:cNvPr id="719" name="왼쪽으로 구부러진 화살표 71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376</xdr:row>
      <xdr:rowOff>0</xdr:rowOff>
    </xdr:from>
    <xdr:to>
      <xdr:col>9</xdr:col>
      <xdr:colOff>260350</xdr:colOff>
      <xdr:row>377</xdr:row>
      <xdr:rowOff>196850</xdr:rowOff>
    </xdr:to>
    <xdr:sp macro="" textlink="">
      <xdr:nvSpPr>
        <xdr:cNvPr id="720" name="왼쪽으로 구부러진 화살표 71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378</xdr:row>
      <xdr:rowOff>0</xdr:rowOff>
    </xdr:from>
    <xdr:to>
      <xdr:col>9</xdr:col>
      <xdr:colOff>260350</xdr:colOff>
      <xdr:row>379</xdr:row>
      <xdr:rowOff>196850</xdr:rowOff>
    </xdr:to>
    <xdr:sp macro="" textlink="">
      <xdr:nvSpPr>
        <xdr:cNvPr id="721" name="왼쪽으로 구부러진 화살표 72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383</xdr:row>
      <xdr:rowOff>0</xdr:rowOff>
    </xdr:from>
    <xdr:to>
      <xdr:col>9</xdr:col>
      <xdr:colOff>260350</xdr:colOff>
      <xdr:row>384</xdr:row>
      <xdr:rowOff>196850</xdr:rowOff>
    </xdr:to>
    <xdr:sp macro="" textlink="">
      <xdr:nvSpPr>
        <xdr:cNvPr id="722" name="왼쪽으로 구부러진 화살표 72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381</xdr:row>
      <xdr:rowOff>0</xdr:rowOff>
    </xdr:from>
    <xdr:to>
      <xdr:col>9</xdr:col>
      <xdr:colOff>260350</xdr:colOff>
      <xdr:row>382</xdr:row>
      <xdr:rowOff>196850</xdr:rowOff>
    </xdr:to>
    <xdr:sp macro="" textlink="">
      <xdr:nvSpPr>
        <xdr:cNvPr id="723" name="왼쪽으로 구부러진 화살표 72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385</xdr:row>
      <xdr:rowOff>0</xdr:rowOff>
    </xdr:from>
    <xdr:to>
      <xdr:col>9</xdr:col>
      <xdr:colOff>260350</xdr:colOff>
      <xdr:row>386</xdr:row>
      <xdr:rowOff>196850</xdr:rowOff>
    </xdr:to>
    <xdr:sp macro="" textlink="">
      <xdr:nvSpPr>
        <xdr:cNvPr id="724" name="왼쪽으로 구부러진 화살표 72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387</xdr:row>
      <xdr:rowOff>0</xdr:rowOff>
    </xdr:from>
    <xdr:to>
      <xdr:col>9</xdr:col>
      <xdr:colOff>260350</xdr:colOff>
      <xdr:row>388</xdr:row>
      <xdr:rowOff>196850</xdr:rowOff>
    </xdr:to>
    <xdr:sp macro="" textlink="">
      <xdr:nvSpPr>
        <xdr:cNvPr id="725" name="왼쪽으로 구부러진 화살표 72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392</xdr:row>
      <xdr:rowOff>0</xdr:rowOff>
    </xdr:from>
    <xdr:to>
      <xdr:col>9</xdr:col>
      <xdr:colOff>260350</xdr:colOff>
      <xdr:row>393</xdr:row>
      <xdr:rowOff>196850</xdr:rowOff>
    </xdr:to>
    <xdr:sp macro="" textlink="">
      <xdr:nvSpPr>
        <xdr:cNvPr id="726" name="왼쪽으로 구부러진 화살표 72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390</xdr:row>
      <xdr:rowOff>0</xdr:rowOff>
    </xdr:from>
    <xdr:to>
      <xdr:col>9</xdr:col>
      <xdr:colOff>260350</xdr:colOff>
      <xdr:row>391</xdr:row>
      <xdr:rowOff>196850</xdr:rowOff>
    </xdr:to>
    <xdr:sp macro="" textlink="">
      <xdr:nvSpPr>
        <xdr:cNvPr id="727" name="왼쪽으로 구부러진 화살표 72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394</xdr:row>
      <xdr:rowOff>0</xdr:rowOff>
    </xdr:from>
    <xdr:to>
      <xdr:col>9</xdr:col>
      <xdr:colOff>260350</xdr:colOff>
      <xdr:row>395</xdr:row>
      <xdr:rowOff>196850</xdr:rowOff>
    </xdr:to>
    <xdr:sp macro="" textlink="">
      <xdr:nvSpPr>
        <xdr:cNvPr id="728" name="왼쪽으로 구부러진 화살표 72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396</xdr:row>
      <xdr:rowOff>0</xdr:rowOff>
    </xdr:from>
    <xdr:to>
      <xdr:col>9</xdr:col>
      <xdr:colOff>260350</xdr:colOff>
      <xdr:row>397</xdr:row>
      <xdr:rowOff>196850</xdr:rowOff>
    </xdr:to>
    <xdr:sp macro="" textlink="">
      <xdr:nvSpPr>
        <xdr:cNvPr id="729" name="왼쪽으로 구부러진 화살표 72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401</xdr:row>
      <xdr:rowOff>0</xdr:rowOff>
    </xdr:from>
    <xdr:to>
      <xdr:col>9</xdr:col>
      <xdr:colOff>260350</xdr:colOff>
      <xdr:row>402</xdr:row>
      <xdr:rowOff>196850</xdr:rowOff>
    </xdr:to>
    <xdr:sp macro="" textlink="">
      <xdr:nvSpPr>
        <xdr:cNvPr id="730" name="왼쪽으로 구부러진 화살표 72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399</xdr:row>
      <xdr:rowOff>0</xdr:rowOff>
    </xdr:from>
    <xdr:to>
      <xdr:col>9</xdr:col>
      <xdr:colOff>260350</xdr:colOff>
      <xdr:row>400</xdr:row>
      <xdr:rowOff>196850</xdr:rowOff>
    </xdr:to>
    <xdr:sp macro="" textlink="">
      <xdr:nvSpPr>
        <xdr:cNvPr id="731" name="왼쪽으로 구부러진 화살표 73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403</xdr:row>
      <xdr:rowOff>0</xdr:rowOff>
    </xdr:from>
    <xdr:to>
      <xdr:col>9</xdr:col>
      <xdr:colOff>260350</xdr:colOff>
      <xdr:row>404</xdr:row>
      <xdr:rowOff>196850</xdr:rowOff>
    </xdr:to>
    <xdr:sp macro="" textlink="">
      <xdr:nvSpPr>
        <xdr:cNvPr id="732" name="왼쪽으로 구부러진 화살표 73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405</xdr:row>
      <xdr:rowOff>0</xdr:rowOff>
    </xdr:from>
    <xdr:to>
      <xdr:col>9</xdr:col>
      <xdr:colOff>260350</xdr:colOff>
      <xdr:row>406</xdr:row>
      <xdr:rowOff>196850</xdr:rowOff>
    </xdr:to>
    <xdr:sp macro="" textlink="">
      <xdr:nvSpPr>
        <xdr:cNvPr id="733" name="왼쪽으로 구부러진 화살표 73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410</xdr:row>
      <xdr:rowOff>0</xdr:rowOff>
    </xdr:from>
    <xdr:to>
      <xdr:col>9</xdr:col>
      <xdr:colOff>260350</xdr:colOff>
      <xdr:row>411</xdr:row>
      <xdr:rowOff>196850</xdr:rowOff>
    </xdr:to>
    <xdr:sp macro="" textlink="">
      <xdr:nvSpPr>
        <xdr:cNvPr id="734" name="왼쪽으로 구부러진 화살표 73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408</xdr:row>
      <xdr:rowOff>0</xdr:rowOff>
    </xdr:from>
    <xdr:to>
      <xdr:col>9</xdr:col>
      <xdr:colOff>260350</xdr:colOff>
      <xdr:row>409</xdr:row>
      <xdr:rowOff>196850</xdr:rowOff>
    </xdr:to>
    <xdr:sp macro="" textlink="">
      <xdr:nvSpPr>
        <xdr:cNvPr id="735" name="왼쪽으로 구부러진 화살표 73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412</xdr:row>
      <xdr:rowOff>0</xdr:rowOff>
    </xdr:from>
    <xdr:to>
      <xdr:col>9</xdr:col>
      <xdr:colOff>260350</xdr:colOff>
      <xdr:row>413</xdr:row>
      <xdr:rowOff>196850</xdr:rowOff>
    </xdr:to>
    <xdr:sp macro="" textlink="">
      <xdr:nvSpPr>
        <xdr:cNvPr id="736" name="왼쪽으로 구부러진 화살표 73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414</xdr:row>
      <xdr:rowOff>0</xdr:rowOff>
    </xdr:from>
    <xdr:to>
      <xdr:col>9</xdr:col>
      <xdr:colOff>260350</xdr:colOff>
      <xdr:row>415</xdr:row>
      <xdr:rowOff>196850</xdr:rowOff>
    </xdr:to>
    <xdr:sp macro="" textlink="">
      <xdr:nvSpPr>
        <xdr:cNvPr id="737" name="왼쪽으로 구부러진 화살표 73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419</xdr:row>
      <xdr:rowOff>0</xdr:rowOff>
    </xdr:from>
    <xdr:to>
      <xdr:col>9</xdr:col>
      <xdr:colOff>260350</xdr:colOff>
      <xdr:row>420</xdr:row>
      <xdr:rowOff>196850</xdr:rowOff>
    </xdr:to>
    <xdr:sp macro="" textlink="">
      <xdr:nvSpPr>
        <xdr:cNvPr id="738" name="왼쪽으로 구부러진 화살표 73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417</xdr:row>
      <xdr:rowOff>0</xdr:rowOff>
    </xdr:from>
    <xdr:to>
      <xdr:col>9</xdr:col>
      <xdr:colOff>260350</xdr:colOff>
      <xdr:row>418</xdr:row>
      <xdr:rowOff>196850</xdr:rowOff>
    </xdr:to>
    <xdr:sp macro="" textlink="">
      <xdr:nvSpPr>
        <xdr:cNvPr id="739" name="왼쪽으로 구부러진 화살표 73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421</xdr:row>
      <xdr:rowOff>0</xdr:rowOff>
    </xdr:from>
    <xdr:to>
      <xdr:col>9</xdr:col>
      <xdr:colOff>260350</xdr:colOff>
      <xdr:row>422</xdr:row>
      <xdr:rowOff>196850</xdr:rowOff>
    </xdr:to>
    <xdr:sp macro="" textlink="">
      <xdr:nvSpPr>
        <xdr:cNvPr id="740" name="왼쪽으로 구부러진 화살표 73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423</xdr:row>
      <xdr:rowOff>0</xdr:rowOff>
    </xdr:from>
    <xdr:to>
      <xdr:col>9</xdr:col>
      <xdr:colOff>260350</xdr:colOff>
      <xdr:row>424</xdr:row>
      <xdr:rowOff>196850</xdr:rowOff>
    </xdr:to>
    <xdr:sp macro="" textlink="">
      <xdr:nvSpPr>
        <xdr:cNvPr id="741" name="왼쪽으로 구부러진 화살표 74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428</xdr:row>
      <xdr:rowOff>0</xdr:rowOff>
    </xdr:from>
    <xdr:to>
      <xdr:col>9</xdr:col>
      <xdr:colOff>260350</xdr:colOff>
      <xdr:row>429</xdr:row>
      <xdr:rowOff>196850</xdr:rowOff>
    </xdr:to>
    <xdr:sp macro="" textlink="">
      <xdr:nvSpPr>
        <xdr:cNvPr id="742" name="왼쪽으로 구부러진 화살표 74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426</xdr:row>
      <xdr:rowOff>0</xdr:rowOff>
    </xdr:from>
    <xdr:to>
      <xdr:col>9</xdr:col>
      <xdr:colOff>260350</xdr:colOff>
      <xdr:row>427</xdr:row>
      <xdr:rowOff>196850</xdr:rowOff>
    </xdr:to>
    <xdr:sp macro="" textlink="">
      <xdr:nvSpPr>
        <xdr:cNvPr id="743" name="왼쪽으로 구부러진 화살표 74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430</xdr:row>
      <xdr:rowOff>0</xdr:rowOff>
    </xdr:from>
    <xdr:to>
      <xdr:col>9</xdr:col>
      <xdr:colOff>260350</xdr:colOff>
      <xdr:row>431</xdr:row>
      <xdr:rowOff>196850</xdr:rowOff>
    </xdr:to>
    <xdr:sp macro="" textlink="">
      <xdr:nvSpPr>
        <xdr:cNvPr id="744" name="왼쪽으로 구부러진 화살표 74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432</xdr:row>
      <xdr:rowOff>0</xdr:rowOff>
    </xdr:from>
    <xdr:to>
      <xdr:col>9</xdr:col>
      <xdr:colOff>260350</xdr:colOff>
      <xdr:row>433</xdr:row>
      <xdr:rowOff>196850</xdr:rowOff>
    </xdr:to>
    <xdr:sp macro="" textlink="">
      <xdr:nvSpPr>
        <xdr:cNvPr id="745" name="왼쪽으로 구부러진 화살표 74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437</xdr:row>
      <xdr:rowOff>0</xdr:rowOff>
    </xdr:from>
    <xdr:to>
      <xdr:col>9</xdr:col>
      <xdr:colOff>260350</xdr:colOff>
      <xdr:row>438</xdr:row>
      <xdr:rowOff>196850</xdr:rowOff>
    </xdr:to>
    <xdr:sp macro="" textlink="">
      <xdr:nvSpPr>
        <xdr:cNvPr id="746" name="왼쪽으로 구부러진 화살표 74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435</xdr:row>
      <xdr:rowOff>0</xdr:rowOff>
    </xdr:from>
    <xdr:to>
      <xdr:col>9</xdr:col>
      <xdr:colOff>260350</xdr:colOff>
      <xdr:row>436</xdr:row>
      <xdr:rowOff>196850</xdr:rowOff>
    </xdr:to>
    <xdr:sp macro="" textlink="">
      <xdr:nvSpPr>
        <xdr:cNvPr id="747" name="왼쪽으로 구부러진 화살표 74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439</xdr:row>
      <xdr:rowOff>0</xdr:rowOff>
    </xdr:from>
    <xdr:to>
      <xdr:col>9</xdr:col>
      <xdr:colOff>260350</xdr:colOff>
      <xdr:row>440</xdr:row>
      <xdr:rowOff>196850</xdr:rowOff>
    </xdr:to>
    <xdr:sp macro="" textlink="">
      <xdr:nvSpPr>
        <xdr:cNvPr id="748" name="왼쪽으로 구부러진 화살표 74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441</xdr:row>
      <xdr:rowOff>0</xdr:rowOff>
    </xdr:from>
    <xdr:to>
      <xdr:col>9</xdr:col>
      <xdr:colOff>260350</xdr:colOff>
      <xdr:row>442</xdr:row>
      <xdr:rowOff>196850</xdr:rowOff>
    </xdr:to>
    <xdr:sp macro="" textlink="">
      <xdr:nvSpPr>
        <xdr:cNvPr id="749" name="왼쪽으로 구부러진 화살표 74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446</xdr:row>
      <xdr:rowOff>0</xdr:rowOff>
    </xdr:from>
    <xdr:to>
      <xdr:col>9</xdr:col>
      <xdr:colOff>260350</xdr:colOff>
      <xdr:row>447</xdr:row>
      <xdr:rowOff>196850</xdr:rowOff>
    </xdr:to>
    <xdr:sp macro="" textlink="">
      <xdr:nvSpPr>
        <xdr:cNvPr id="750" name="왼쪽으로 구부러진 화살표 74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444</xdr:row>
      <xdr:rowOff>0</xdr:rowOff>
    </xdr:from>
    <xdr:to>
      <xdr:col>9</xdr:col>
      <xdr:colOff>260350</xdr:colOff>
      <xdr:row>445</xdr:row>
      <xdr:rowOff>196850</xdr:rowOff>
    </xdr:to>
    <xdr:sp macro="" textlink="">
      <xdr:nvSpPr>
        <xdr:cNvPr id="751" name="왼쪽으로 구부러진 화살표 75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448</xdr:row>
      <xdr:rowOff>0</xdr:rowOff>
    </xdr:from>
    <xdr:to>
      <xdr:col>9</xdr:col>
      <xdr:colOff>260350</xdr:colOff>
      <xdr:row>449</xdr:row>
      <xdr:rowOff>196850</xdr:rowOff>
    </xdr:to>
    <xdr:sp macro="" textlink="">
      <xdr:nvSpPr>
        <xdr:cNvPr id="752" name="왼쪽으로 구부러진 화살표 75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450</xdr:row>
      <xdr:rowOff>0</xdr:rowOff>
    </xdr:from>
    <xdr:to>
      <xdr:col>9</xdr:col>
      <xdr:colOff>260350</xdr:colOff>
      <xdr:row>451</xdr:row>
      <xdr:rowOff>196850</xdr:rowOff>
    </xdr:to>
    <xdr:sp macro="" textlink="">
      <xdr:nvSpPr>
        <xdr:cNvPr id="753" name="왼쪽으로 구부러진 화살표 75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455</xdr:row>
      <xdr:rowOff>0</xdr:rowOff>
    </xdr:from>
    <xdr:to>
      <xdr:col>9</xdr:col>
      <xdr:colOff>260350</xdr:colOff>
      <xdr:row>456</xdr:row>
      <xdr:rowOff>196850</xdr:rowOff>
    </xdr:to>
    <xdr:sp macro="" textlink="">
      <xdr:nvSpPr>
        <xdr:cNvPr id="754" name="왼쪽으로 구부러진 화살표 75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453</xdr:row>
      <xdr:rowOff>0</xdr:rowOff>
    </xdr:from>
    <xdr:to>
      <xdr:col>9</xdr:col>
      <xdr:colOff>260350</xdr:colOff>
      <xdr:row>454</xdr:row>
      <xdr:rowOff>196850</xdr:rowOff>
    </xdr:to>
    <xdr:sp macro="" textlink="">
      <xdr:nvSpPr>
        <xdr:cNvPr id="755" name="왼쪽으로 구부러진 화살표 75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457</xdr:row>
      <xdr:rowOff>0</xdr:rowOff>
    </xdr:from>
    <xdr:to>
      <xdr:col>9</xdr:col>
      <xdr:colOff>260350</xdr:colOff>
      <xdr:row>458</xdr:row>
      <xdr:rowOff>196850</xdr:rowOff>
    </xdr:to>
    <xdr:sp macro="" textlink="">
      <xdr:nvSpPr>
        <xdr:cNvPr id="756" name="왼쪽으로 구부러진 화살표 75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459</xdr:row>
      <xdr:rowOff>0</xdr:rowOff>
    </xdr:from>
    <xdr:to>
      <xdr:col>9</xdr:col>
      <xdr:colOff>260350</xdr:colOff>
      <xdr:row>460</xdr:row>
      <xdr:rowOff>196850</xdr:rowOff>
    </xdr:to>
    <xdr:sp macro="" textlink="">
      <xdr:nvSpPr>
        <xdr:cNvPr id="757" name="왼쪽으로 구부러진 화살표 75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464</xdr:row>
      <xdr:rowOff>0</xdr:rowOff>
    </xdr:from>
    <xdr:to>
      <xdr:col>9</xdr:col>
      <xdr:colOff>260350</xdr:colOff>
      <xdr:row>465</xdr:row>
      <xdr:rowOff>196850</xdr:rowOff>
    </xdr:to>
    <xdr:sp macro="" textlink="">
      <xdr:nvSpPr>
        <xdr:cNvPr id="758" name="왼쪽으로 구부러진 화살표 75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462</xdr:row>
      <xdr:rowOff>0</xdr:rowOff>
    </xdr:from>
    <xdr:to>
      <xdr:col>9</xdr:col>
      <xdr:colOff>260350</xdr:colOff>
      <xdr:row>463</xdr:row>
      <xdr:rowOff>196850</xdr:rowOff>
    </xdr:to>
    <xdr:sp macro="" textlink="">
      <xdr:nvSpPr>
        <xdr:cNvPr id="759" name="왼쪽으로 구부러진 화살표 75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466</xdr:row>
      <xdr:rowOff>0</xdr:rowOff>
    </xdr:from>
    <xdr:to>
      <xdr:col>9</xdr:col>
      <xdr:colOff>260350</xdr:colOff>
      <xdr:row>467</xdr:row>
      <xdr:rowOff>196850</xdr:rowOff>
    </xdr:to>
    <xdr:sp macro="" textlink="">
      <xdr:nvSpPr>
        <xdr:cNvPr id="760" name="왼쪽으로 구부러진 화살표 75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468</xdr:row>
      <xdr:rowOff>0</xdr:rowOff>
    </xdr:from>
    <xdr:to>
      <xdr:col>9</xdr:col>
      <xdr:colOff>260350</xdr:colOff>
      <xdr:row>469</xdr:row>
      <xdr:rowOff>196850</xdr:rowOff>
    </xdr:to>
    <xdr:sp macro="" textlink="">
      <xdr:nvSpPr>
        <xdr:cNvPr id="761" name="왼쪽으로 구부러진 화살표 76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473</xdr:row>
      <xdr:rowOff>0</xdr:rowOff>
    </xdr:from>
    <xdr:to>
      <xdr:col>9</xdr:col>
      <xdr:colOff>260350</xdr:colOff>
      <xdr:row>474</xdr:row>
      <xdr:rowOff>196850</xdr:rowOff>
    </xdr:to>
    <xdr:sp macro="" textlink="">
      <xdr:nvSpPr>
        <xdr:cNvPr id="762" name="왼쪽으로 구부러진 화살표 76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471</xdr:row>
      <xdr:rowOff>0</xdr:rowOff>
    </xdr:from>
    <xdr:to>
      <xdr:col>9</xdr:col>
      <xdr:colOff>260350</xdr:colOff>
      <xdr:row>472</xdr:row>
      <xdr:rowOff>196850</xdr:rowOff>
    </xdr:to>
    <xdr:sp macro="" textlink="">
      <xdr:nvSpPr>
        <xdr:cNvPr id="763" name="왼쪽으로 구부러진 화살표 76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475</xdr:row>
      <xdr:rowOff>0</xdr:rowOff>
    </xdr:from>
    <xdr:to>
      <xdr:col>9</xdr:col>
      <xdr:colOff>260350</xdr:colOff>
      <xdr:row>476</xdr:row>
      <xdr:rowOff>196850</xdr:rowOff>
    </xdr:to>
    <xdr:sp macro="" textlink="">
      <xdr:nvSpPr>
        <xdr:cNvPr id="764" name="왼쪽으로 구부러진 화살표 76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477</xdr:row>
      <xdr:rowOff>0</xdr:rowOff>
    </xdr:from>
    <xdr:to>
      <xdr:col>9</xdr:col>
      <xdr:colOff>260350</xdr:colOff>
      <xdr:row>478</xdr:row>
      <xdr:rowOff>196850</xdr:rowOff>
    </xdr:to>
    <xdr:sp macro="" textlink="">
      <xdr:nvSpPr>
        <xdr:cNvPr id="765" name="왼쪽으로 구부러진 화살표 76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482</xdr:row>
      <xdr:rowOff>0</xdr:rowOff>
    </xdr:from>
    <xdr:to>
      <xdr:col>9</xdr:col>
      <xdr:colOff>260350</xdr:colOff>
      <xdr:row>483</xdr:row>
      <xdr:rowOff>196850</xdr:rowOff>
    </xdr:to>
    <xdr:sp macro="" textlink="">
      <xdr:nvSpPr>
        <xdr:cNvPr id="766" name="왼쪽으로 구부러진 화살표 76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480</xdr:row>
      <xdr:rowOff>0</xdr:rowOff>
    </xdr:from>
    <xdr:to>
      <xdr:col>9</xdr:col>
      <xdr:colOff>260350</xdr:colOff>
      <xdr:row>481</xdr:row>
      <xdr:rowOff>196850</xdr:rowOff>
    </xdr:to>
    <xdr:sp macro="" textlink="">
      <xdr:nvSpPr>
        <xdr:cNvPr id="767" name="왼쪽으로 구부러진 화살표 76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484</xdr:row>
      <xdr:rowOff>0</xdr:rowOff>
    </xdr:from>
    <xdr:to>
      <xdr:col>9</xdr:col>
      <xdr:colOff>260350</xdr:colOff>
      <xdr:row>485</xdr:row>
      <xdr:rowOff>196850</xdr:rowOff>
    </xdr:to>
    <xdr:sp macro="" textlink="">
      <xdr:nvSpPr>
        <xdr:cNvPr id="768" name="왼쪽으로 구부러진 화살표 76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486</xdr:row>
      <xdr:rowOff>0</xdr:rowOff>
    </xdr:from>
    <xdr:to>
      <xdr:col>9</xdr:col>
      <xdr:colOff>260350</xdr:colOff>
      <xdr:row>487</xdr:row>
      <xdr:rowOff>196850</xdr:rowOff>
    </xdr:to>
    <xdr:sp macro="" textlink="">
      <xdr:nvSpPr>
        <xdr:cNvPr id="769" name="왼쪽으로 구부러진 화살표 76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491</xdr:row>
      <xdr:rowOff>0</xdr:rowOff>
    </xdr:from>
    <xdr:to>
      <xdr:col>9</xdr:col>
      <xdr:colOff>260350</xdr:colOff>
      <xdr:row>492</xdr:row>
      <xdr:rowOff>196850</xdr:rowOff>
    </xdr:to>
    <xdr:sp macro="" textlink="">
      <xdr:nvSpPr>
        <xdr:cNvPr id="770" name="왼쪽으로 구부러진 화살표 76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489</xdr:row>
      <xdr:rowOff>0</xdr:rowOff>
    </xdr:from>
    <xdr:to>
      <xdr:col>9</xdr:col>
      <xdr:colOff>260350</xdr:colOff>
      <xdr:row>490</xdr:row>
      <xdr:rowOff>196850</xdr:rowOff>
    </xdr:to>
    <xdr:sp macro="" textlink="">
      <xdr:nvSpPr>
        <xdr:cNvPr id="771" name="왼쪽으로 구부러진 화살표 77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493</xdr:row>
      <xdr:rowOff>0</xdr:rowOff>
    </xdr:from>
    <xdr:to>
      <xdr:col>9</xdr:col>
      <xdr:colOff>260350</xdr:colOff>
      <xdr:row>494</xdr:row>
      <xdr:rowOff>196850</xdr:rowOff>
    </xdr:to>
    <xdr:sp macro="" textlink="">
      <xdr:nvSpPr>
        <xdr:cNvPr id="772" name="왼쪽으로 구부러진 화살표 77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495</xdr:row>
      <xdr:rowOff>0</xdr:rowOff>
    </xdr:from>
    <xdr:to>
      <xdr:col>9</xdr:col>
      <xdr:colOff>260350</xdr:colOff>
      <xdr:row>496</xdr:row>
      <xdr:rowOff>196850</xdr:rowOff>
    </xdr:to>
    <xdr:sp macro="" textlink="">
      <xdr:nvSpPr>
        <xdr:cNvPr id="773" name="왼쪽으로 구부러진 화살표 77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500</xdr:row>
      <xdr:rowOff>0</xdr:rowOff>
    </xdr:from>
    <xdr:to>
      <xdr:col>9</xdr:col>
      <xdr:colOff>260350</xdr:colOff>
      <xdr:row>501</xdr:row>
      <xdr:rowOff>196850</xdr:rowOff>
    </xdr:to>
    <xdr:sp macro="" textlink="">
      <xdr:nvSpPr>
        <xdr:cNvPr id="774" name="왼쪽으로 구부러진 화살표 77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498</xdr:row>
      <xdr:rowOff>0</xdr:rowOff>
    </xdr:from>
    <xdr:to>
      <xdr:col>9</xdr:col>
      <xdr:colOff>260350</xdr:colOff>
      <xdr:row>499</xdr:row>
      <xdr:rowOff>196850</xdr:rowOff>
    </xdr:to>
    <xdr:sp macro="" textlink="">
      <xdr:nvSpPr>
        <xdr:cNvPr id="775" name="왼쪽으로 구부러진 화살표 77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502</xdr:row>
      <xdr:rowOff>0</xdr:rowOff>
    </xdr:from>
    <xdr:to>
      <xdr:col>9</xdr:col>
      <xdr:colOff>260350</xdr:colOff>
      <xdr:row>503</xdr:row>
      <xdr:rowOff>196850</xdr:rowOff>
    </xdr:to>
    <xdr:sp macro="" textlink="">
      <xdr:nvSpPr>
        <xdr:cNvPr id="776" name="왼쪽으로 구부러진 화살표 77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504</xdr:row>
      <xdr:rowOff>0</xdr:rowOff>
    </xdr:from>
    <xdr:to>
      <xdr:col>9</xdr:col>
      <xdr:colOff>260350</xdr:colOff>
      <xdr:row>505</xdr:row>
      <xdr:rowOff>196850</xdr:rowOff>
    </xdr:to>
    <xdr:sp macro="" textlink="">
      <xdr:nvSpPr>
        <xdr:cNvPr id="777" name="왼쪽으로 구부러진 화살표 77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509</xdr:row>
      <xdr:rowOff>0</xdr:rowOff>
    </xdr:from>
    <xdr:to>
      <xdr:col>9</xdr:col>
      <xdr:colOff>260350</xdr:colOff>
      <xdr:row>510</xdr:row>
      <xdr:rowOff>196850</xdr:rowOff>
    </xdr:to>
    <xdr:sp macro="" textlink="">
      <xdr:nvSpPr>
        <xdr:cNvPr id="778" name="왼쪽으로 구부러진 화살표 77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507</xdr:row>
      <xdr:rowOff>0</xdr:rowOff>
    </xdr:from>
    <xdr:to>
      <xdr:col>9</xdr:col>
      <xdr:colOff>260350</xdr:colOff>
      <xdr:row>508</xdr:row>
      <xdr:rowOff>196850</xdr:rowOff>
    </xdr:to>
    <xdr:sp macro="" textlink="">
      <xdr:nvSpPr>
        <xdr:cNvPr id="779" name="왼쪽으로 구부러진 화살표 77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511</xdr:row>
      <xdr:rowOff>0</xdr:rowOff>
    </xdr:from>
    <xdr:to>
      <xdr:col>9</xdr:col>
      <xdr:colOff>260350</xdr:colOff>
      <xdr:row>512</xdr:row>
      <xdr:rowOff>196850</xdr:rowOff>
    </xdr:to>
    <xdr:sp macro="" textlink="">
      <xdr:nvSpPr>
        <xdr:cNvPr id="780" name="왼쪽으로 구부러진 화살표 77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513</xdr:row>
      <xdr:rowOff>0</xdr:rowOff>
    </xdr:from>
    <xdr:to>
      <xdr:col>9</xdr:col>
      <xdr:colOff>260350</xdr:colOff>
      <xdr:row>514</xdr:row>
      <xdr:rowOff>196850</xdr:rowOff>
    </xdr:to>
    <xdr:sp macro="" textlink="">
      <xdr:nvSpPr>
        <xdr:cNvPr id="781" name="왼쪽으로 구부러진 화살표 78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518</xdr:row>
      <xdr:rowOff>0</xdr:rowOff>
    </xdr:from>
    <xdr:to>
      <xdr:col>9</xdr:col>
      <xdr:colOff>260350</xdr:colOff>
      <xdr:row>519</xdr:row>
      <xdr:rowOff>196850</xdr:rowOff>
    </xdr:to>
    <xdr:sp macro="" textlink="">
      <xdr:nvSpPr>
        <xdr:cNvPr id="782" name="왼쪽으로 구부러진 화살표 78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516</xdr:row>
      <xdr:rowOff>0</xdr:rowOff>
    </xdr:from>
    <xdr:to>
      <xdr:col>9</xdr:col>
      <xdr:colOff>260350</xdr:colOff>
      <xdr:row>517</xdr:row>
      <xdr:rowOff>196850</xdr:rowOff>
    </xdr:to>
    <xdr:sp macro="" textlink="">
      <xdr:nvSpPr>
        <xdr:cNvPr id="783" name="왼쪽으로 구부러진 화살표 78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520</xdr:row>
      <xdr:rowOff>0</xdr:rowOff>
    </xdr:from>
    <xdr:to>
      <xdr:col>9</xdr:col>
      <xdr:colOff>260350</xdr:colOff>
      <xdr:row>521</xdr:row>
      <xdr:rowOff>196850</xdr:rowOff>
    </xdr:to>
    <xdr:sp macro="" textlink="">
      <xdr:nvSpPr>
        <xdr:cNvPr id="784" name="왼쪽으로 구부러진 화살표 78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522</xdr:row>
      <xdr:rowOff>0</xdr:rowOff>
    </xdr:from>
    <xdr:to>
      <xdr:col>9</xdr:col>
      <xdr:colOff>260350</xdr:colOff>
      <xdr:row>523</xdr:row>
      <xdr:rowOff>196850</xdr:rowOff>
    </xdr:to>
    <xdr:sp macro="" textlink="">
      <xdr:nvSpPr>
        <xdr:cNvPr id="785" name="왼쪽으로 구부러진 화살표 78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527</xdr:row>
      <xdr:rowOff>0</xdr:rowOff>
    </xdr:from>
    <xdr:to>
      <xdr:col>9</xdr:col>
      <xdr:colOff>260350</xdr:colOff>
      <xdr:row>528</xdr:row>
      <xdr:rowOff>196850</xdr:rowOff>
    </xdr:to>
    <xdr:sp macro="" textlink="">
      <xdr:nvSpPr>
        <xdr:cNvPr id="786" name="왼쪽으로 구부러진 화살표 78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525</xdr:row>
      <xdr:rowOff>0</xdr:rowOff>
    </xdr:from>
    <xdr:to>
      <xdr:col>9</xdr:col>
      <xdr:colOff>260350</xdr:colOff>
      <xdr:row>526</xdr:row>
      <xdr:rowOff>196850</xdr:rowOff>
    </xdr:to>
    <xdr:sp macro="" textlink="">
      <xdr:nvSpPr>
        <xdr:cNvPr id="787" name="왼쪽으로 구부러진 화살표 78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529</xdr:row>
      <xdr:rowOff>0</xdr:rowOff>
    </xdr:from>
    <xdr:to>
      <xdr:col>9</xdr:col>
      <xdr:colOff>260350</xdr:colOff>
      <xdr:row>530</xdr:row>
      <xdr:rowOff>196850</xdr:rowOff>
    </xdr:to>
    <xdr:sp macro="" textlink="">
      <xdr:nvSpPr>
        <xdr:cNvPr id="788" name="왼쪽으로 구부러진 화살표 78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531</xdr:row>
      <xdr:rowOff>0</xdr:rowOff>
    </xdr:from>
    <xdr:to>
      <xdr:col>9</xdr:col>
      <xdr:colOff>260350</xdr:colOff>
      <xdr:row>532</xdr:row>
      <xdr:rowOff>196850</xdr:rowOff>
    </xdr:to>
    <xdr:sp macro="" textlink="">
      <xdr:nvSpPr>
        <xdr:cNvPr id="789" name="왼쪽으로 구부러진 화살표 78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536</xdr:row>
      <xdr:rowOff>0</xdr:rowOff>
    </xdr:from>
    <xdr:to>
      <xdr:col>9</xdr:col>
      <xdr:colOff>260350</xdr:colOff>
      <xdr:row>537</xdr:row>
      <xdr:rowOff>196850</xdr:rowOff>
    </xdr:to>
    <xdr:sp macro="" textlink="">
      <xdr:nvSpPr>
        <xdr:cNvPr id="790" name="왼쪽으로 구부러진 화살표 78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534</xdr:row>
      <xdr:rowOff>0</xdr:rowOff>
    </xdr:from>
    <xdr:to>
      <xdr:col>9</xdr:col>
      <xdr:colOff>260350</xdr:colOff>
      <xdr:row>535</xdr:row>
      <xdr:rowOff>196850</xdr:rowOff>
    </xdr:to>
    <xdr:sp macro="" textlink="">
      <xdr:nvSpPr>
        <xdr:cNvPr id="791" name="왼쪽으로 구부러진 화살표 79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538</xdr:row>
      <xdr:rowOff>0</xdr:rowOff>
    </xdr:from>
    <xdr:to>
      <xdr:col>9</xdr:col>
      <xdr:colOff>260350</xdr:colOff>
      <xdr:row>539</xdr:row>
      <xdr:rowOff>196850</xdr:rowOff>
    </xdr:to>
    <xdr:sp macro="" textlink="">
      <xdr:nvSpPr>
        <xdr:cNvPr id="792" name="왼쪽으로 구부러진 화살표 79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540</xdr:row>
      <xdr:rowOff>0</xdr:rowOff>
    </xdr:from>
    <xdr:to>
      <xdr:col>9</xdr:col>
      <xdr:colOff>260350</xdr:colOff>
      <xdr:row>541</xdr:row>
      <xdr:rowOff>196850</xdr:rowOff>
    </xdr:to>
    <xdr:sp macro="" textlink="">
      <xdr:nvSpPr>
        <xdr:cNvPr id="793" name="왼쪽으로 구부러진 화살표 79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545</xdr:row>
      <xdr:rowOff>0</xdr:rowOff>
    </xdr:from>
    <xdr:to>
      <xdr:col>9</xdr:col>
      <xdr:colOff>260350</xdr:colOff>
      <xdr:row>546</xdr:row>
      <xdr:rowOff>196850</xdr:rowOff>
    </xdr:to>
    <xdr:sp macro="" textlink="">
      <xdr:nvSpPr>
        <xdr:cNvPr id="794" name="왼쪽으로 구부러진 화살표 79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543</xdr:row>
      <xdr:rowOff>0</xdr:rowOff>
    </xdr:from>
    <xdr:to>
      <xdr:col>9</xdr:col>
      <xdr:colOff>260350</xdr:colOff>
      <xdr:row>544</xdr:row>
      <xdr:rowOff>196850</xdr:rowOff>
    </xdr:to>
    <xdr:sp macro="" textlink="">
      <xdr:nvSpPr>
        <xdr:cNvPr id="795" name="왼쪽으로 구부러진 화살표 79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547</xdr:row>
      <xdr:rowOff>0</xdr:rowOff>
    </xdr:from>
    <xdr:to>
      <xdr:col>9</xdr:col>
      <xdr:colOff>260350</xdr:colOff>
      <xdr:row>548</xdr:row>
      <xdr:rowOff>196850</xdr:rowOff>
    </xdr:to>
    <xdr:sp macro="" textlink="">
      <xdr:nvSpPr>
        <xdr:cNvPr id="796" name="왼쪽으로 구부러진 화살표 79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549</xdr:row>
      <xdr:rowOff>0</xdr:rowOff>
    </xdr:from>
    <xdr:to>
      <xdr:col>9</xdr:col>
      <xdr:colOff>260350</xdr:colOff>
      <xdr:row>550</xdr:row>
      <xdr:rowOff>196850</xdr:rowOff>
    </xdr:to>
    <xdr:sp macro="" textlink="">
      <xdr:nvSpPr>
        <xdr:cNvPr id="797" name="왼쪽으로 구부러진 화살표 79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554</xdr:row>
      <xdr:rowOff>0</xdr:rowOff>
    </xdr:from>
    <xdr:to>
      <xdr:col>9</xdr:col>
      <xdr:colOff>260350</xdr:colOff>
      <xdr:row>555</xdr:row>
      <xdr:rowOff>196850</xdr:rowOff>
    </xdr:to>
    <xdr:sp macro="" textlink="">
      <xdr:nvSpPr>
        <xdr:cNvPr id="798" name="왼쪽으로 구부러진 화살표 79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552</xdr:row>
      <xdr:rowOff>0</xdr:rowOff>
    </xdr:from>
    <xdr:to>
      <xdr:col>9</xdr:col>
      <xdr:colOff>260350</xdr:colOff>
      <xdr:row>553</xdr:row>
      <xdr:rowOff>196850</xdr:rowOff>
    </xdr:to>
    <xdr:sp macro="" textlink="">
      <xdr:nvSpPr>
        <xdr:cNvPr id="799" name="왼쪽으로 구부러진 화살표 79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556</xdr:row>
      <xdr:rowOff>0</xdr:rowOff>
    </xdr:from>
    <xdr:to>
      <xdr:col>9</xdr:col>
      <xdr:colOff>260350</xdr:colOff>
      <xdr:row>557</xdr:row>
      <xdr:rowOff>196850</xdr:rowOff>
    </xdr:to>
    <xdr:sp macro="" textlink="">
      <xdr:nvSpPr>
        <xdr:cNvPr id="800" name="왼쪽으로 구부러진 화살표 79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558</xdr:row>
      <xdr:rowOff>0</xdr:rowOff>
    </xdr:from>
    <xdr:to>
      <xdr:col>9</xdr:col>
      <xdr:colOff>260350</xdr:colOff>
      <xdr:row>559</xdr:row>
      <xdr:rowOff>196850</xdr:rowOff>
    </xdr:to>
    <xdr:sp macro="" textlink="">
      <xdr:nvSpPr>
        <xdr:cNvPr id="801" name="왼쪽으로 구부러진 화살표 80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563</xdr:row>
      <xdr:rowOff>0</xdr:rowOff>
    </xdr:from>
    <xdr:to>
      <xdr:col>9</xdr:col>
      <xdr:colOff>260350</xdr:colOff>
      <xdr:row>564</xdr:row>
      <xdr:rowOff>196850</xdr:rowOff>
    </xdr:to>
    <xdr:sp macro="" textlink="">
      <xdr:nvSpPr>
        <xdr:cNvPr id="802" name="왼쪽으로 구부러진 화살표 80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561</xdr:row>
      <xdr:rowOff>0</xdr:rowOff>
    </xdr:from>
    <xdr:to>
      <xdr:col>9</xdr:col>
      <xdr:colOff>260350</xdr:colOff>
      <xdr:row>562</xdr:row>
      <xdr:rowOff>196850</xdr:rowOff>
    </xdr:to>
    <xdr:sp macro="" textlink="">
      <xdr:nvSpPr>
        <xdr:cNvPr id="803" name="왼쪽으로 구부러진 화살표 80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565</xdr:row>
      <xdr:rowOff>0</xdr:rowOff>
    </xdr:from>
    <xdr:to>
      <xdr:col>9</xdr:col>
      <xdr:colOff>260350</xdr:colOff>
      <xdr:row>566</xdr:row>
      <xdr:rowOff>196850</xdr:rowOff>
    </xdr:to>
    <xdr:sp macro="" textlink="">
      <xdr:nvSpPr>
        <xdr:cNvPr id="804" name="왼쪽으로 구부러진 화살표 80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567</xdr:row>
      <xdr:rowOff>0</xdr:rowOff>
    </xdr:from>
    <xdr:to>
      <xdr:col>9</xdr:col>
      <xdr:colOff>260350</xdr:colOff>
      <xdr:row>568</xdr:row>
      <xdr:rowOff>196850</xdr:rowOff>
    </xdr:to>
    <xdr:sp macro="" textlink="">
      <xdr:nvSpPr>
        <xdr:cNvPr id="805" name="왼쪽으로 구부러진 화살표 80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572</xdr:row>
      <xdr:rowOff>0</xdr:rowOff>
    </xdr:from>
    <xdr:to>
      <xdr:col>9</xdr:col>
      <xdr:colOff>260350</xdr:colOff>
      <xdr:row>573</xdr:row>
      <xdr:rowOff>196850</xdr:rowOff>
    </xdr:to>
    <xdr:sp macro="" textlink="">
      <xdr:nvSpPr>
        <xdr:cNvPr id="806" name="왼쪽으로 구부러진 화살표 80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570</xdr:row>
      <xdr:rowOff>0</xdr:rowOff>
    </xdr:from>
    <xdr:to>
      <xdr:col>9</xdr:col>
      <xdr:colOff>260350</xdr:colOff>
      <xdr:row>571</xdr:row>
      <xdr:rowOff>196850</xdr:rowOff>
    </xdr:to>
    <xdr:sp macro="" textlink="">
      <xdr:nvSpPr>
        <xdr:cNvPr id="807" name="왼쪽으로 구부러진 화살표 80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574</xdr:row>
      <xdr:rowOff>0</xdr:rowOff>
    </xdr:from>
    <xdr:to>
      <xdr:col>9</xdr:col>
      <xdr:colOff>260350</xdr:colOff>
      <xdr:row>575</xdr:row>
      <xdr:rowOff>196850</xdr:rowOff>
    </xdr:to>
    <xdr:sp macro="" textlink="">
      <xdr:nvSpPr>
        <xdr:cNvPr id="808" name="왼쪽으로 구부러진 화살표 80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576</xdr:row>
      <xdr:rowOff>0</xdr:rowOff>
    </xdr:from>
    <xdr:to>
      <xdr:col>9</xdr:col>
      <xdr:colOff>260350</xdr:colOff>
      <xdr:row>577</xdr:row>
      <xdr:rowOff>196850</xdr:rowOff>
    </xdr:to>
    <xdr:sp macro="" textlink="">
      <xdr:nvSpPr>
        <xdr:cNvPr id="809" name="왼쪽으로 구부러진 화살표 80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581</xdr:row>
      <xdr:rowOff>0</xdr:rowOff>
    </xdr:from>
    <xdr:to>
      <xdr:col>9</xdr:col>
      <xdr:colOff>260350</xdr:colOff>
      <xdr:row>582</xdr:row>
      <xdr:rowOff>196850</xdr:rowOff>
    </xdr:to>
    <xdr:sp macro="" textlink="">
      <xdr:nvSpPr>
        <xdr:cNvPr id="810" name="왼쪽으로 구부러진 화살표 80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579</xdr:row>
      <xdr:rowOff>0</xdr:rowOff>
    </xdr:from>
    <xdr:to>
      <xdr:col>9</xdr:col>
      <xdr:colOff>260350</xdr:colOff>
      <xdr:row>580</xdr:row>
      <xdr:rowOff>196850</xdr:rowOff>
    </xdr:to>
    <xdr:sp macro="" textlink="">
      <xdr:nvSpPr>
        <xdr:cNvPr id="811" name="왼쪽으로 구부러진 화살표 81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583</xdr:row>
      <xdr:rowOff>0</xdr:rowOff>
    </xdr:from>
    <xdr:to>
      <xdr:col>9</xdr:col>
      <xdr:colOff>260350</xdr:colOff>
      <xdr:row>584</xdr:row>
      <xdr:rowOff>196850</xdr:rowOff>
    </xdr:to>
    <xdr:sp macro="" textlink="">
      <xdr:nvSpPr>
        <xdr:cNvPr id="812" name="왼쪽으로 구부러진 화살표 81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</xdr:row>
      <xdr:rowOff>0</xdr:rowOff>
    </xdr:from>
    <xdr:to>
      <xdr:col>9</xdr:col>
      <xdr:colOff>260350</xdr:colOff>
      <xdr:row>586</xdr:row>
      <xdr:rowOff>196850</xdr:rowOff>
    </xdr:to>
    <xdr:sp macro="" textlink="">
      <xdr:nvSpPr>
        <xdr:cNvPr id="813" name="왼쪽으로 구부러진 화살표 81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590</xdr:row>
      <xdr:rowOff>0</xdr:rowOff>
    </xdr:from>
    <xdr:to>
      <xdr:col>9</xdr:col>
      <xdr:colOff>260350</xdr:colOff>
      <xdr:row>591</xdr:row>
      <xdr:rowOff>196850</xdr:rowOff>
    </xdr:to>
    <xdr:sp macro="" textlink="">
      <xdr:nvSpPr>
        <xdr:cNvPr id="814" name="왼쪽으로 구부러진 화살표 81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588</xdr:row>
      <xdr:rowOff>0</xdr:rowOff>
    </xdr:from>
    <xdr:to>
      <xdr:col>9</xdr:col>
      <xdr:colOff>260350</xdr:colOff>
      <xdr:row>589</xdr:row>
      <xdr:rowOff>196850</xdr:rowOff>
    </xdr:to>
    <xdr:sp macro="" textlink="">
      <xdr:nvSpPr>
        <xdr:cNvPr id="815" name="왼쪽으로 구부러진 화살표 81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592</xdr:row>
      <xdr:rowOff>0</xdr:rowOff>
    </xdr:from>
    <xdr:to>
      <xdr:col>9</xdr:col>
      <xdr:colOff>260350</xdr:colOff>
      <xdr:row>593</xdr:row>
      <xdr:rowOff>196850</xdr:rowOff>
    </xdr:to>
    <xdr:sp macro="" textlink="">
      <xdr:nvSpPr>
        <xdr:cNvPr id="816" name="왼쪽으로 구부러진 화살표 81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594</xdr:row>
      <xdr:rowOff>0</xdr:rowOff>
    </xdr:from>
    <xdr:to>
      <xdr:col>9</xdr:col>
      <xdr:colOff>260350</xdr:colOff>
      <xdr:row>595</xdr:row>
      <xdr:rowOff>196850</xdr:rowOff>
    </xdr:to>
    <xdr:sp macro="" textlink="">
      <xdr:nvSpPr>
        <xdr:cNvPr id="817" name="왼쪽으로 구부러진 화살표 81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599</xdr:row>
      <xdr:rowOff>0</xdr:rowOff>
    </xdr:from>
    <xdr:to>
      <xdr:col>9</xdr:col>
      <xdr:colOff>260350</xdr:colOff>
      <xdr:row>600</xdr:row>
      <xdr:rowOff>196850</xdr:rowOff>
    </xdr:to>
    <xdr:sp macro="" textlink="">
      <xdr:nvSpPr>
        <xdr:cNvPr id="818" name="왼쪽으로 구부러진 화살표 81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597</xdr:row>
      <xdr:rowOff>0</xdr:rowOff>
    </xdr:from>
    <xdr:to>
      <xdr:col>9</xdr:col>
      <xdr:colOff>260350</xdr:colOff>
      <xdr:row>598</xdr:row>
      <xdr:rowOff>196850</xdr:rowOff>
    </xdr:to>
    <xdr:sp macro="" textlink="">
      <xdr:nvSpPr>
        <xdr:cNvPr id="819" name="왼쪽으로 구부러진 화살표 81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601</xdr:row>
      <xdr:rowOff>0</xdr:rowOff>
    </xdr:from>
    <xdr:to>
      <xdr:col>9</xdr:col>
      <xdr:colOff>260350</xdr:colOff>
      <xdr:row>602</xdr:row>
      <xdr:rowOff>196850</xdr:rowOff>
    </xdr:to>
    <xdr:sp macro="" textlink="">
      <xdr:nvSpPr>
        <xdr:cNvPr id="820" name="왼쪽으로 구부러진 화살표 81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603</xdr:row>
      <xdr:rowOff>0</xdr:rowOff>
    </xdr:from>
    <xdr:to>
      <xdr:col>9</xdr:col>
      <xdr:colOff>260350</xdr:colOff>
      <xdr:row>604</xdr:row>
      <xdr:rowOff>196850</xdr:rowOff>
    </xdr:to>
    <xdr:sp macro="" textlink="">
      <xdr:nvSpPr>
        <xdr:cNvPr id="821" name="왼쪽으로 구부러진 화살표 82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608</xdr:row>
      <xdr:rowOff>0</xdr:rowOff>
    </xdr:from>
    <xdr:to>
      <xdr:col>9</xdr:col>
      <xdr:colOff>260350</xdr:colOff>
      <xdr:row>609</xdr:row>
      <xdr:rowOff>196850</xdr:rowOff>
    </xdr:to>
    <xdr:sp macro="" textlink="">
      <xdr:nvSpPr>
        <xdr:cNvPr id="822" name="왼쪽으로 구부러진 화살표 82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606</xdr:row>
      <xdr:rowOff>0</xdr:rowOff>
    </xdr:from>
    <xdr:to>
      <xdr:col>9</xdr:col>
      <xdr:colOff>260350</xdr:colOff>
      <xdr:row>607</xdr:row>
      <xdr:rowOff>196850</xdr:rowOff>
    </xdr:to>
    <xdr:sp macro="" textlink="">
      <xdr:nvSpPr>
        <xdr:cNvPr id="823" name="왼쪽으로 구부러진 화살표 82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610</xdr:row>
      <xdr:rowOff>0</xdr:rowOff>
    </xdr:from>
    <xdr:to>
      <xdr:col>9</xdr:col>
      <xdr:colOff>260350</xdr:colOff>
      <xdr:row>611</xdr:row>
      <xdr:rowOff>196850</xdr:rowOff>
    </xdr:to>
    <xdr:sp macro="" textlink="">
      <xdr:nvSpPr>
        <xdr:cNvPr id="824" name="왼쪽으로 구부러진 화살표 82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612</xdr:row>
      <xdr:rowOff>0</xdr:rowOff>
    </xdr:from>
    <xdr:to>
      <xdr:col>9</xdr:col>
      <xdr:colOff>260350</xdr:colOff>
      <xdr:row>613</xdr:row>
      <xdr:rowOff>196850</xdr:rowOff>
    </xdr:to>
    <xdr:sp macro="" textlink="">
      <xdr:nvSpPr>
        <xdr:cNvPr id="825" name="왼쪽으로 구부러진 화살표 82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617</xdr:row>
      <xdr:rowOff>0</xdr:rowOff>
    </xdr:from>
    <xdr:to>
      <xdr:col>9</xdr:col>
      <xdr:colOff>260350</xdr:colOff>
      <xdr:row>618</xdr:row>
      <xdr:rowOff>196850</xdr:rowOff>
    </xdr:to>
    <xdr:sp macro="" textlink="">
      <xdr:nvSpPr>
        <xdr:cNvPr id="826" name="왼쪽으로 구부러진 화살표 82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615</xdr:row>
      <xdr:rowOff>0</xdr:rowOff>
    </xdr:from>
    <xdr:to>
      <xdr:col>9</xdr:col>
      <xdr:colOff>260350</xdr:colOff>
      <xdr:row>616</xdr:row>
      <xdr:rowOff>196850</xdr:rowOff>
    </xdr:to>
    <xdr:sp macro="" textlink="">
      <xdr:nvSpPr>
        <xdr:cNvPr id="827" name="왼쪽으로 구부러진 화살표 82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619</xdr:row>
      <xdr:rowOff>0</xdr:rowOff>
    </xdr:from>
    <xdr:to>
      <xdr:col>9</xdr:col>
      <xdr:colOff>260350</xdr:colOff>
      <xdr:row>620</xdr:row>
      <xdr:rowOff>196850</xdr:rowOff>
    </xdr:to>
    <xdr:sp macro="" textlink="">
      <xdr:nvSpPr>
        <xdr:cNvPr id="828" name="왼쪽으로 구부러진 화살표 82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621</xdr:row>
      <xdr:rowOff>0</xdr:rowOff>
    </xdr:from>
    <xdr:to>
      <xdr:col>9</xdr:col>
      <xdr:colOff>260350</xdr:colOff>
      <xdr:row>622</xdr:row>
      <xdr:rowOff>196850</xdr:rowOff>
    </xdr:to>
    <xdr:sp macro="" textlink="">
      <xdr:nvSpPr>
        <xdr:cNvPr id="829" name="왼쪽으로 구부러진 화살표 82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626</xdr:row>
      <xdr:rowOff>0</xdr:rowOff>
    </xdr:from>
    <xdr:to>
      <xdr:col>9</xdr:col>
      <xdr:colOff>260350</xdr:colOff>
      <xdr:row>627</xdr:row>
      <xdr:rowOff>196850</xdr:rowOff>
    </xdr:to>
    <xdr:sp macro="" textlink="">
      <xdr:nvSpPr>
        <xdr:cNvPr id="830" name="왼쪽으로 구부러진 화살표 82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624</xdr:row>
      <xdr:rowOff>0</xdr:rowOff>
    </xdr:from>
    <xdr:to>
      <xdr:col>9</xdr:col>
      <xdr:colOff>260350</xdr:colOff>
      <xdr:row>625</xdr:row>
      <xdr:rowOff>196850</xdr:rowOff>
    </xdr:to>
    <xdr:sp macro="" textlink="">
      <xdr:nvSpPr>
        <xdr:cNvPr id="831" name="왼쪽으로 구부러진 화살표 83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628</xdr:row>
      <xdr:rowOff>0</xdr:rowOff>
    </xdr:from>
    <xdr:to>
      <xdr:col>9</xdr:col>
      <xdr:colOff>260350</xdr:colOff>
      <xdr:row>629</xdr:row>
      <xdr:rowOff>196850</xdr:rowOff>
    </xdr:to>
    <xdr:sp macro="" textlink="">
      <xdr:nvSpPr>
        <xdr:cNvPr id="832" name="왼쪽으로 구부러진 화살표 83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630</xdr:row>
      <xdr:rowOff>0</xdr:rowOff>
    </xdr:from>
    <xdr:to>
      <xdr:col>9</xdr:col>
      <xdr:colOff>260350</xdr:colOff>
      <xdr:row>631</xdr:row>
      <xdr:rowOff>196850</xdr:rowOff>
    </xdr:to>
    <xdr:sp macro="" textlink="">
      <xdr:nvSpPr>
        <xdr:cNvPr id="833" name="왼쪽으로 구부러진 화살표 83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635</xdr:row>
      <xdr:rowOff>0</xdr:rowOff>
    </xdr:from>
    <xdr:to>
      <xdr:col>9</xdr:col>
      <xdr:colOff>260350</xdr:colOff>
      <xdr:row>636</xdr:row>
      <xdr:rowOff>196850</xdr:rowOff>
    </xdr:to>
    <xdr:sp macro="" textlink="">
      <xdr:nvSpPr>
        <xdr:cNvPr id="834" name="왼쪽으로 구부러진 화살표 83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633</xdr:row>
      <xdr:rowOff>0</xdr:rowOff>
    </xdr:from>
    <xdr:to>
      <xdr:col>9</xdr:col>
      <xdr:colOff>260350</xdr:colOff>
      <xdr:row>634</xdr:row>
      <xdr:rowOff>196850</xdr:rowOff>
    </xdr:to>
    <xdr:sp macro="" textlink="">
      <xdr:nvSpPr>
        <xdr:cNvPr id="835" name="왼쪽으로 구부러진 화살표 83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637</xdr:row>
      <xdr:rowOff>0</xdr:rowOff>
    </xdr:from>
    <xdr:to>
      <xdr:col>9</xdr:col>
      <xdr:colOff>260350</xdr:colOff>
      <xdr:row>638</xdr:row>
      <xdr:rowOff>196850</xdr:rowOff>
    </xdr:to>
    <xdr:sp macro="" textlink="">
      <xdr:nvSpPr>
        <xdr:cNvPr id="836" name="왼쪽으로 구부러진 화살표 83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639</xdr:row>
      <xdr:rowOff>0</xdr:rowOff>
    </xdr:from>
    <xdr:to>
      <xdr:col>9</xdr:col>
      <xdr:colOff>260350</xdr:colOff>
      <xdr:row>640</xdr:row>
      <xdr:rowOff>196850</xdr:rowOff>
    </xdr:to>
    <xdr:sp macro="" textlink="">
      <xdr:nvSpPr>
        <xdr:cNvPr id="837" name="왼쪽으로 구부러진 화살표 83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644</xdr:row>
      <xdr:rowOff>0</xdr:rowOff>
    </xdr:from>
    <xdr:to>
      <xdr:col>9</xdr:col>
      <xdr:colOff>260350</xdr:colOff>
      <xdr:row>645</xdr:row>
      <xdr:rowOff>196850</xdr:rowOff>
    </xdr:to>
    <xdr:sp macro="" textlink="">
      <xdr:nvSpPr>
        <xdr:cNvPr id="838" name="왼쪽으로 구부러진 화살표 83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642</xdr:row>
      <xdr:rowOff>0</xdr:rowOff>
    </xdr:from>
    <xdr:to>
      <xdr:col>9</xdr:col>
      <xdr:colOff>260350</xdr:colOff>
      <xdr:row>643</xdr:row>
      <xdr:rowOff>196850</xdr:rowOff>
    </xdr:to>
    <xdr:sp macro="" textlink="">
      <xdr:nvSpPr>
        <xdr:cNvPr id="839" name="왼쪽으로 구부러진 화살표 83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646</xdr:row>
      <xdr:rowOff>0</xdr:rowOff>
    </xdr:from>
    <xdr:to>
      <xdr:col>9</xdr:col>
      <xdr:colOff>260350</xdr:colOff>
      <xdr:row>647</xdr:row>
      <xdr:rowOff>196850</xdr:rowOff>
    </xdr:to>
    <xdr:sp macro="" textlink="">
      <xdr:nvSpPr>
        <xdr:cNvPr id="840" name="왼쪽으로 구부러진 화살표 83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648</xdr:row>
      <xdr:rowOff>0</xdr:rowOff>
    </xdr:from>
    <xdr:to>
      <xdr:col>9</xdr:col>
      <xdr:colOff>260350</xdr:colOff>
      <xdr:row>649</xdr:row>
      <xdr:rowOff>196850</xdr:rowOff>
    </xdr:to>
    <xdr:sp macro="" textlink="">
      <xdr:nvSpPr>
        <xdr:cNvPr id="841" name="왼쪽으로 구부러진 화살표 84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653</xdr:row>
      <xdr:rowOff>0</xdr:rowOff>
    </xdr:from>
    <xdr:to>
      <xdr:col>9</xdr:col>
      <xdr:colOff>260350</xdr:colOff>
      <xdr:row>654</xdr:row>
      <xdr:rowOff>196850</xdr:rowOff>
    </xdr:to>
    <xdr:sp macro="" textlink="">
      <xdr:nvSpPr>
        <xdr:cNvPr id="842" name="왼쪽으로 구부러진 화살표 84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651</xdr:row>
      <xdr:rowOff>0</xdr:rowOff>
    </xdr:from>
    <xdr:to>
      <xdr:col>9</xdr:col>
      <xdr:colOff>260350</xdr:colOff>
      <xdr:row>652</xdr:row>
      <xdr:rowOff>196850</xdr:rowOff>
    </xdr:to>
    <xdr:sp macro="" textlink="">
      <xdr:nvSpPr>
        <xdr:cNvPr id="843" name="왼쪽으로 구부러진 화살표 84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655</xdr:row>
      <xdr:rowOff>0</xdr:rowOff>
    </xdr:from>
    <xdr:to>
      <xdr:col>9</xdr:col>
      <xdr:colOff>260350</xdr:colOff>
      <xdr:row>656</xdr:row>
      <xdr:rowOff>196850</xdr:rowOff>
    </xdr:to>
    <xdr:sp macro="" textlink="">
      <xdr:nvSpPr>
        <xdr:cNvPr id="844" name="왼쪽으로 구부러진 화살표 84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657</xdr:row>
      <xdr:rowOff>0</xdr:rowOff>
    </xdr:from>
    <xdr:to>
      <xdr:col>9</xdr:col>
      <xdr:colOff>260350</xdr:colOff>
      <xdr:row>658</xdr:row>
      <xdr:rowOff>196850</xdr:rowOff>
    </xdr:to>
    <xdr:sp macro="" textlink="">
      <xdr:nvSpPr>
        <xdr:cNvPr id="845" name="왼쪽으로 구부러진 화살표 84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662</xdr:row>
      <xdr:rowOff>0</xdr:rowOff>
    </xdr:from>
    <xdr:to>
      <xdr:col>9</xdr:col>
      <xdr:colOff>260350</xdr:colOff>
      <xdr:row>663</xdr:row>
      <xdr:rowOff>196850</xdr:rowOff>
    </xdr:to>
    <xdr:sp macro="" textlink="">
      <xdr:nvSpPr>
        <xdr:cNvPr id="846" name="왼쪽으로 구부러진 화살표 84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660</xdr:row>
      <xdr:rowOff>0</xdr:rowOff>
    </xdr:from>
    <xdr:to>
      <xdr:col>9</xdr:col>
      <xdr:colOff>260350</xdr:colOff>
      <xdr:row>661</xdr:row>
      <xdr:rowOff>196850</xdr:rowOff>
    </xdr:to>
    <xdr:sp macro="" textlink="">
      <xdr:nvSpPr>
        <xdr:cNvPr id="847" name="왼쪽으로 구부러진 화살표 84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664</xdr:row>
      <xdr:rowOff>0</xdr:rowOff>
    </xdr:from>
    <xdr:to>
      <xdr:col>9</xdr:col>
      <xdr:colOff>260350</xdr:colOff>
      <xdr:row>665</xdr:row>
      <xdr:rowOff>196850</xdr:rowOff>
    </xdr:to>
    <xdr:sp macro="" textlink="">
      <xdr:nvSpPr>
        <xdr:cNvPr id="848" name="왼쪽으로 구부러진 화살표 84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</xdr:row>
      <xdr:rowOff>0</xdr:rowOff>
    </xdr:from>
    <xdr:to>
      <xdr:col>9</xdr:col>
      <xdr:colOff>260350</xdr:colOff>
      <xdr:row>667</xdr:row>
      <xdr:rowOff>196850</xdr:rowOff>
    </xdr:to>
    <xdr:sp macro="" textlink="">
      <xdr:nvSpPr>
        <xdr:cNvPr id="849" name="왼쪽으로 구부러진 화살표 84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671</xdr:row>
      <xdr:rowOff>0</xdr:rowOff>
    </xdr:from>
    <xdr:to>
      <xdr:col>9</xdr:col>
      <xdr:colOff>260350</xdr:colOff>
      <xdr:row>672</xdr:row>
      <xdr:rowOff>196850</xdr:rowOff>
    </xdr:to>
    <xdr:sp macro="" textlink="">
      <xdr:nvSpPr>
        <xdr:cNvPr id="850" name="왼쪽으로 구부러진 화살표 84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669</xdr:row>
      <xdr:rowOff>0</xdr:rowOff>
    </xdr:from>
    <xdr:to>
      <xdr:col>9</xdr:col>
      <xdr:colOff>260350</xdr:colOff>
      <xdr:row>670</xdr:row>
      <xdr:rowOff>196850</xdr:rowOff>
    </xdr:to>
    <xdr:sp macro="" textlink="">
      <xdr:nvSpPr>
        <xdr:cNvPr id="851" name="왼쪽으로 구부러진 화살표 85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673</xdr:row>
      <xdr:rowOff>0</xdr:rowOff>
    </xdr:from>
    <xdr:to>
      <xdr:col>9</xdr:col>
      <xdr:colOff>260350</xdr:colOff>
      <xdr:row>674</xdr:row>
      <xdr:rowOff>196850</xdr:rowOff>
    </xdr:to>
    <xdr:sp macro="" textlink="">
      <xdr:nvSpPr>
        <xdr:cNvPr id="852" name="왼쪽으로 구부러진 화살표 85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675</xdr:row>
      <xdr:rowOff>0</xdr:rowOff>
    </xdr:from>
    <xdr:to>
      <xdr:col>9</xdr:col>
      <xdr:colOff>260350</xdr:colOff>
      <xdr:row>676</xdr:row>
      <xdr:rowOff>196850</xdr:rowOff>
    </xdr:to>
    <xdr:sp macro="" textlink="">
      <xdr:nvSpPr>
        <xdr:cNvPr id="853" name="왼쪽으로 구부러진 화살표 85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680</xdr:row>
      <xdr:rowOff>0</xdr:rowOff>
    </xdr:from>
    <xdr:to>
      <xdr:col>9</xdr:col>
      <xdr:colOff>260350</xdr:colOff>
      <xdr:row>681</xdr:row>
      <xdr:rowOff>196850</xdr:rowOff>
    </xdr:to>
    <xdr:sp macro="" textlink="">
      <xdr:nvSpPr>
        <xdr:cNvPr id="854" name="왼쪽으로 구부러진 화살표 85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678</xdr:row>
      <xdr:rowOff>0</xdr:rowOff>
    </xdr:from>
    <xdr:to>
      <xdr:col>9</xdr:col>
      <xdr:colOff>260350</xdr:colOff>
      <xdr:row>679</xdr:row>
      <xdr:rowOff>196850</xdr:rowOff>
    </xdr:to>
    <xdr:sp macro="" textlink="">
      <xdr:nvSpPr>
        <xdr:cNvPr id="855" name="왼쪽으로 구부러진 화살표 85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682</xdr:row>
      <xdr:rowOff>0</xdr:rowOff>
    </xdr:from>
    <xdr:to>
      <xdr:col>9</xdr:col>
      <xdr:colOff>260350</xdr:colOff>
      <xdr:row>683</xdr:row>
      <xdr:rowOff>196850</xdr:rowOff>
    </xdr:to>
    <xdr:sp macro="" textlink="">
      <xdr:nvSpPr>
        <xdr:cNvPr id="856" name="왼쪽으로 구부러진 화살표 85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684</xdr:row>
      <xdr:rowOff>0</xdr:rowOff>
    </xdr:from>
    <xdr:to>
      <xdr:col>9</xdr:col>
      <xdr:colOff>260350</xdr:colOff>
      <xdr:row>685</xdr:row>
      <xdr:rowOff>196850</xdr:rowOff>
    </xdr:to>
    <xdr:sp macro="" textlink="">
      <xdr:nvSpPr>
        <xdr:cNvPr id="857" name="왼쪽으로 구부러진 화살표 85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689</xdr:row>
      <xdr:rowOff>0</xdr:rowOff>
    </xdr:from>
    <xdr:to>
      <xdr:col>9</xdr:col>
      <xdr:colOff>260350</xdr:colOff>
      <xdr:row>690</xdr:row>
      <xdr:rowOff>196850</xdr:rowOff>
    </xdr:to>
    <xdr:sp macro="" textlink="">
      <xdr:nvSpPr>
        <xdr:cNvPr id="858" name="왼쪽으로 구부러진 화살표 85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687</xdr:row>
      <xdr:rowOff>0</xdr:rowOff>
    </xdr:from>
    <xdr:to>
      <xdr:col>9</xdr:col>
      <xdr:colOff>260350</xdr:colOff>
      <xdr:row>688</xdr:row>
      <xdr:rowOff>196850</xdr:rowOff>
    </xdr:to>
    <xdr:sp macro="" textlink="">
      <xdr:nvSpPr>
        <xdr:cNvPr id="859" name="왼쪽으로 구부러진 화살표 85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691</xdr:row>
      <xdr:rowOff>0</xdr:rowOff>
    </xdr:from>
    <xdr:to>
      <xdr:col>9</xdr:col>
      <xdr:colOff>260350</xdr:colOff>
      <xdr:row>692</xdr:row>
      <xdr:rowOff>196850</xdr:rowOff>
    </xdr:to>
    <xdr:sp macro="" textlink="">
      <xdr:nvSpPr>
        <xdr:cNvPr id="860" name="왼쪽으로 구부러진 화살표 85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693</xdr:row>
      <xdr:rowOff>0</xdr:rowOff>
    </xdr:from>
    <xdr:to>
      <xdr:col>9</xdr:col>
      <xdr:colOff>260350</xdr:colOff>
      <xdr:row>694</xdr:row>
      <xdr:rowOff>196850</xdr:rowOff>
    </xdr:to>
    <xdr:sp macro="" textlink="">
      <xdr:nvSpPr>
        <xdr:cNvPr id="861" name="왼쪽으로 구부러진 화살표 86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698</xdr:row>
      <xdr:rowOff>0</xdr:rowOff>
    </xdr:from>
    <xdr:to>
      <xdr:col>9</xdr:col>
      <xdr:colOff>260350</xdr:colOff>
      <xdr:row>699</xdr:row>
      <xdr:rowOff>196850</xdr:rowOff>
    </xdr:to>
    <xdr:sp macro="" textlink="">
      <xdr:nvSpPr>
        <xdr:cNvPr id="862" name="왼쪽으로 구부러진 화살표 86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696</xdr:row>
      <xdr:rowOff>0</xdr:rowOff>
    </xdr:from>
    <xdr:to>
      <xdr:col>9</xdr:col>
      <xdr:colOff>260350</xdr:colOff>
      <xdr:row>697</xdr:row>
      <xdr:rowOff>196850</xdr:rowOff>
    </xdr:to>
    <xdr:sp macro="" textlink="">
      <xdr:nvSpPr>
        <xdr:cNvPr id="863" name="왼쪽으로 구부러진 화살표 86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700</xdr:row>
      <xdr:rowOff>0</xdr:rowOff>
    </xdr:from>
    <xdr:to>
      <xdr:col>9</xdr:col>
      <xdr:colOff>260350</xdr:colOff>
      <xdr:row>701</xdr:row>
      <xdr:rowOff>196850</xdr:rowOff>
    </xdr:to>
    <xdr:sp macro="" textlink="">
      <xdr:nvSpPr>
        <xdr:cNvPr id="864" name="왼쪽으로 구부러진 화살표 86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702</xdr:row>
      <xdr:rowOff>0</xdr:rowOff>
    </xdr:from>
    <xdr:to>
      <xdr:col>9</xdr:col>
      <xdr:colOff>260350</xdr:colOff>
      <xdr:row>703</xdr:row>
      <xdr:rowOff>196850</xdr:rowOff>
    </xdr:to>
    <xdr:sp macro="" textlink="">
      <xdr:nvSpPr>
        <xdr:cNvPr id="865" name="왼쪽으로 구부러진 화살표 86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707</xdr:row>
      <xdr:rowOff>0</xdr:rowOff>
    </xdr:from>
    <xdr:to>
      <xdr:col>9</xdr:col>
      <xdr:colOff>260350</xdr:colOff>
      <xdr:row>708</xdr:row>
      <xdr:rowOff>196850</xdr:rowOff>
    </xdr:to>
    <xdr:sp macro="" textlink="">
      <xdr:nvSpPr>
        <xdr:cNvPr id="866" name="왼쪽으로 구부러진 화살표 86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705</xdr:row>
      <xdr:rowOff>0</xdr:rowOff>
    </xdr:from>
    <xdr:to>
      <xdr:col>9</xdr:col>
      <xdr:colOff>260350</xdr:colOff>
      <xdr:row>706</xdr:row>
      <xdr:rowOff>196850</xdr:rowOff>
    </xdr:to>
    <xdr:sp macro="" textlink="">
      <xdr:nvSpPr>
        <xdr:cNvPr id="867" name="왼쪽으로 구부러진 화살표 86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709</xdr:row>
      <xdr:rowOff>0</xdr:rowOff>
    </xdr:from>
    <xdr:to>
      <xdr:col>9</xdr:col>
      <xdr:colOff>260350</xdr:colOff>
      <xdr:row>710</xdr:row>
      <xdr:rowOff>196850</xdr:rowOff>
    </xdr:to>
    <xdr:sp macro="" textlink="">
      <xdr:nvSpPr>
        <xdr:cNvPr id="868" name="왼쪽으로 구부러진 화살표 86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711</xdr:row>
      <xdr:rowOff>0</xdr:rowOff>
    </xdr:from>
    <xdr:to>
      <xdr:col>9</xdr:col>
      <xdr:colOff>260350</xdr:colOff>
      <xdr:row>712</xdr:row>
      <xdr:rowOff>196850</xdr:rowOff>
    </xdr:to>
    <xdr:sp macro="" textlink="">
      <xdr:nvSpPr>
        <xdr:cNvPr id="869" name="왼쪽으로 구부러진 화살표 86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716</xdr:row>
      <xdr:rowOff>0</xdr:rowOff>
    </xdr:from>
    <xdr:to>
      <xdr:col>9</xdr:col>
      <xdr:colOff>260350</xdr:colOff>
      <xdr:row>717</xdr:row>
      <xdr:rowOff>196850</xdr:rowOff>
    </xdr:to>
    <xdr:sp macro="" textlink="">
      <xdr:nvSpPr>
        <xdr:cNvPr id="870" name="왼쪽으로 구부러진 화살표 86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714</xdr:row>
      <xdr:rowOff>0</xdr:rowOff>
    </xdr:from>
    <xdr:to>
      <xdr:col>9</xdr:col>
      <xdr:colOff>260350</xdr:colOff>
      <xdr:row>715</xdr:row>
      <xdr:rowOff>196850</xdr:rowOff>
    </xdr:to>
    <xdr:sp macro="" textlink="">
      <xdr:nvSpPr>
        <xdr:cNvPr id="871" name="왼쪽으로 구부러진 화살표 87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718</xdr:row>
      <xdr:rowOff>0</xdr:rowOff>
    </xdr:from>
    <xdr:to>
      <xdr:col>9</xdr:col>
      <xdr:colOff>260350</xdr:colOff>
      <xdr:row>719</xdr:row>
      <xdr:rowOff>196850</xdr:rowOff>
    </xdr:to>
    <xdr:sp macro="" textlink="">
      <xdr:nvSpPr>
        <xdr:cNvPr id="872" name="왼쪽으로 구부러진 화살표 87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720</xdr:row>
      <xdr:rowOff>0</xdr:rowOff>
    </xdr:from>
    <xdr:to>
      <xdr:col>9</xdr:col>
      <xdr:colOff>260350</xdr:colOff>
      <xdr:row>721</xdr:row>
      <xdr:rowOff>196850</xdr:rowOff>
    </xdr:to>
    <xdr:sp macro="" textlink="">
      <xdr:nvSpPr>
        <xdr:cNvPr id="873" name="왼쪽으로 구부러진 화살표 87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725</xdr:row>
      <xdr:rowOff>0</xdr:rowOff>
    </xdr:from>
    <xdr:to>
      <xdr:col>9</xdr:col>
      <xdr:colOff>260350</xdr:colOff>
      <xdr:row>726</xdr:row>
      <xdr:rowOff>196850</xdr:rowOff>
    </xdr:to>
    <xdr:sp macro="" textlink="">
      <xdr:nvSpPr>
        <xdr:cNvPr id="874" name="왼쪽으로 구부러진 화살표 87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723</xdr:row>
      <xdr:rowOff>0</xdr:rowOff>
    </xdr:from>
    <xdr:to>
      <xdr:col>9</xdr:col>
      <xdr:colOff>260350</xdr:colOff>
      <xdr:row>724</xdr:row>
      <xdr:rowOff>196850</xdr:rowOff>
    </xdr:to>
    <xdr:sp macro="" textlink="">
      <xdr:nvSpPr>
        <xdr:cNvPr id="875" name="왼쪽으로 구부러진 화살표 87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727</xdr:row>
      <xdr:rowOff>0</xdr:rowOff>
    </xdr:from>
    <xdr:to>
      <xdr:col>9</xdr:col>
      <xdr:colOff>260350</xdr:colOff>
      <xdr:row>728</xdr:row>
      <xdr:rowOff>196850</xdr:rowOff>
    </xdr:to>
    <xdr:sp macro="" textlink="">
      <xdr:nvSpPr>
        <xdr:cNvPr id="876" name="왼쪽으로 구부러진 화살표 87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729</xdr:row>
      <xdr:rowOff>0</xdr:rowOff>
    </xdr:from>
    <xdr:to>
      <xdr:col>9</xdr:col>
      <xdr:colOff>260350</xdr:colOff>
      <xdr:row>730</xdr:row>
      <xdr:rowOff>196850</xdr:rowOff>
    </xdr:to>
    <xdr:sp macro="" textlink="">
      <xdr:nvSpPr>
        <xdr:cNvPr id="877" name="왼쪽으로 구부러진 화살표 87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734</xdr:row>
      <xdr:rowOff>0</xdr:rowOff>
    </xdr:from>
    <xdr:to>
      <xdr:col>9</xdr:col>
      <xdr:colOff>260350</xdr:colOff>
      <xdr:row>735</xdr:row>
      <xdr:rowOff>196850</xdr:rowOff>
    </xdr:to>
    <xdr:sp macro="" textlink="">
      <xdr:nvSpPr>
        <xdr:cNvPr id="878" name="왼쪽으로 구부러진 화살표 87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732</xdr:row>
      <xdr:rowOff>0</xdr:rowOff>
    </xdr:from>
    <xdr:to>
      <xdr:col>9</xdr:col>
      <xdr:colOff>260350</xdr:colOff>
      <xdr:row>733</xdr:row>
      <xdr:rowOff>196850</xdr:rowOff>
    </xdr:to>
    <xdr:sp macro="" textlink="">
      <xdr:nvSpPr>
        <xdr:cNvPr id="879" name="왼쪽으로 구부러진 화살표 87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736</xdr:row>
      <xdr:rowOff>0</xdr:rowOff>
    </xdr:from>
    <xdr:to>
      <xdr:col>9</xdr:col>
      <xdr:colOff>260350</xdr:colOff>
      <xdr:row>737</xdr:row>
      <xdr:rowOff>196850</xdr:rowOff>
    </xdr:to>
    <xdr:sp macro="" textlink="">
      <xdr:nvSpPr>
        <xdr:cNvPr id="880" name="왼쪽으로 구부러진 화살표 87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738</xdr:row>
      <xdr:rowOff>0</xdr:rowOff>
    </xdr:from>
    <xdr:to>
      <xdr:col>9</xdr:col>
      <xdr:colOff>260350</xdr:colOff>
      <xdr:row>739</xdr:row>
      <xdr:rowOff>196850</xdr:rowOff>
    </xdr:to>
    <xdr:sp macro="" textlink="">
      <xdr:nvSpPr>
        <xdr:cNvPr id="881" name="왼쪽으로 구부러진 화살표 88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743</xdr:row>
      <xdr:rowOff>0</xdr:rowOff>
    </xdr:from>
    <xdr:to>
      <xdr:col>9</xdr:col>
      <xdr:colOff>260350</xdr:colOff>
      <xdr:row>744</xdr:row>
      <xdr:rowOff>196850</xdr:rowOff>
    </xdr:to>
    <xdr:sp macro="" textlink="">
      <xdr:nvSpPr>
        <xdr:cNvPr id="882" name="왼쪽으로 구부러진 화살표 88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741</xdr:row>
      <xdr:rowOff>0</xdr:rowOff>
    </xdr:from>
    <xdr:to>
      <xdr:col>9</xdr:col>
      <xdr:colOff>260350</xdr:colOff>
      <xdr:row>742</xdr:row>
      <xdr:rowOff>196850</xdr:rowOff>
    </xdr:to>
    <xdr:sp macro="" textlink="">
      <xdr:nvSpPr>
        <xdr:cNvPr id="883" name="왼쪽으로 구부러진 화살표 88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745</xdr:row>
      <xdr:rowOff>0</xdr:rowOff>
    </xdr:from>
    <xdr:to>
      <xdr:col>9</xdr:col>
      <xdr:colOff>260350</xdr:colOff>
      <xdr:row>746</xdr:row>
      <xdr:rowOff>196850</xdr:rowOff>
    </xdr:to>
    <xdr:sp macro="" textlink="">
      <xdr:nvSpPr>
        <xdr:cNvPr id="884" name="왼쪽으로 구부러진 화살표 88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747</xdr:row>
      <xdr:rowOff>0</xdr:rowOff>
    </xdr:from>
    <xdr:to>
      <xdr:col>9</xdr:col>
      <xdr:colOff>260350</xdr:colOff>
      <xdr:row>748</xdr:row>
      <xdr:rowOff>196850</xdr:rowOff>
    </xdr:to>
    <xdr:sp macro="" textlink="">
      <xdr:nvSpPr>
        <xdr:cNvPr id="885" name="왼쪽으로 구부러진 화살표 88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752</xdr:row>
      <xdr:rowOff>0</xdr:rowOff>
    </xdr:from>
    <xdr:to>
      <xdr:col>9</xdr:col>
      <xdr:colOff>260350</xdr:colOff>
      <xdr:row>753</xdr:row>
      <xdr:rowOff>196850</xdr:rowOff>
    </xdr:to>
    <xdr:sp macro="" textlink="">
      <xdr:nvSpPr>
        <xdr:cNvPr id="886" name="왼쪽으로 구부러진 화살표 88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750</xdr:row>
      <xdr:rowOff>0</xdr:rowOff>
    </xdr:from>
    <xdr:to>
      <xdr:col>9</xdr:col>
      <xdr:colOff>260350</xdr:colOff>
      <xdr:row>751</xdr:row>
      <xdr:rowOff>196850</xdr:rowOff>
    </xdr:to>
    <xdr:sp macro="" textlink="">
      <xdr:nvSpPr>
        <xdr:cNvPr id="887" name="왼쪽으로 구부러진 화살표 88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754</xdr:row>
      <xdr:rowOff>0</xdr:rowOff>
    </xdr:from>
    <xdr:to>
      <xdr:col>9</xdr:col>
      <xdr:colOff>260350</xdr:colOff>
      <xdr:row>755</xdr:row>
      <xdr:rowOff>196850</xdr:rowOff>
    </xdr:to>
    <xdr:sp macro="" textlink="">
      <xdr:nvSpPr>
        <xdr:cNvPr id="888" name="왼쪽으로 구부러진 화살표 88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756</xdr:row>
      <xdr:rowOff>0</xdr:rowOff>
    </xdr:from>
    <xdr:to>
      <xdr:col>9</xdr:col>
      <xdr:colOff>260350</xdr:colOff>
      <xdr:row>757</xdr:row>
      <xdr:rowOff>196850</xdr:rowOff>
    </xdr:to>
    <xdr:sp macro="" textlink="">
      <xdr:nvSpPr>
        <xdr:cNvPr id="889" name="왼쪽으로 구부러진 화살표 88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761</xdr:row>
      <xdr:rowOff>0</xdr:rowOff>
    </xdr:from>
    <xdr:to>
      <xdr:col>9</xdr:col>
      <xdr:colOff>260350</xdr:colOff>
      <xdr:row>762</xdr:row>
      <xdr:rowOff>196850</xdr:rowOff>
    </xdr:to>
    <xdr:sp macro="" textlink="">
      <xdr:nvSpPr>
        <xdr:cNvPr id="890" name="왼쪽으로 구부러진 화살표 88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759</xdr:row>
      <xdr:rowOff>0</xdr:rowOff>
    </xdr:from>
    <xdr:to>
      <xdr:col>9</xdr:col>
      <xdr:colOff>260350</xdr:colOff>
      <xdr:row>760</xdr:row>
      <xdr:rowOff>196850</xdr:rowOff>
    </xdr:to>
    <xdr:sp macro="" textlink="">
      <xdr:nvSpPr>
        <xdr:cNvPr id="891" name="왼쪽으로 구부러진 화살표 89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763</xdr:row>
      <xdr:rowOff>0</xdr:rowOff>
    </xdr:from>
    <xdr:to>
      <xdr:col>9</xdr:col>
      <xdr:colOff>260350</xdr:colOff>
      <xdr:row>764</xdr:row>
      <xdr:rowOff>196850</xdr:rowOff>
    </xdr:to>
    <xdr:sp macro="" textlink="">
      <xdr:nvSpPr>
        <xdr:cNvPr id="892" name="왼쪽으로 구부러진 화살표 89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765</xdr:row>
      <xdr:rowOff>0</xdr:rowOff>
    </xdr:from>
    <xdr:to>
      <xdr:col>9</xdr:col>
      <xdr:colOff>260350</xdr:colOff>
      <xdr:row>766</xdr:row>
      <xdr:rowOff>196850</xdr:rowOff>
    </xdr:to>
    <xdr:sp macro="" textlink="">
      <xdr:nvSpPr>
        <xdr:cNvPr id="893" name="왼쪽으로 구부러진 화살표 89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770</xdr:row>
      <xdr:rowOff>0</xdr:rowOff>
    </xdr:from>
    <xdr:to>
      <xdr:col>9</xdr:col>
      <xdr:colOff>260350</xdr:colOff>
      <xdr:row>771</xdr:row>
      <xdr:rowOff>196850</xdr:rowOff>
    </xdr:to>
    <xdr:sp macro="" textlink="">
      <xdr:nvSpPr>
        <xdr:cNvPr id="894" name="왼쪽으로 구부러진 화살표 89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768</xdr:row>
      <xdr:rowOff>0</xdr:rowOff>
    </xdr:from>
    <xdr:to>
      <xdr:col>9</xdr:col>
      <xdr:colOff>260350</xdr:colOff>
      <xdr:row>769</xdr:row>
      <xdr:rowOff>196850</xdr:rowOff>
    </xdr:to>
    <xdr:sp macro="" textlink="">
      <xdr:nvSpPr>
        <xdr:cNvPr id="895" name="왼쪽으로 구부러진 화살표 89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772</xdr:row>
      <xdr:rowOff>0</xdr:rowOff>
    </xdr:from>
    <xdr:to>
      <xdr:col>9</xdr:col>
      <xdr:colOff>260350</xdr:colOff>
      <xdr:row>773</xdr:row>
      <xdr:rowOff>196850</xdr:rowOff>
    </xdr:to>
    <xdr:sp macro="" textlink="">
      <xdr:nvSpPr>
        <xdr:cNvPr id="896" name="왼쪽으로 구부러진 화살표 89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774</xdr:row>
      <xdr:rowOff>0</xdr:rowOff>
    </xdr:from>
    <xdr:to>
      <xdr:col>9</xdr:col>
      <xdr:colOff>260350</xdr:colOff>
      <xdr:row>775</xdr:row>
      <xdr:rowOff>196850</xdr:rowOff>
    </xdr:to>
    <xdr:sp macro="" textlink="">
      <xdr:nvSpPr>
        <xdr:cNvPr id="897" name="왼쪽으로 구부러진 화살표 89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779</xdr:row>
      <xdr:rowOff>0</xdr:rowOff>
    </xdr:from>
    <xdr:to>
      <xdr:col>9</xdr:col>
      <xdr:colOff>260350</xdr:colOff>
      <xdr:row>780</xdr:row>
      <xdr:rowOff>196850</xdr:rowOff>
    </xdr:to>
    <xdr:sp macro="" textlink="">
      <xdr:nvSpPr>
        <xdr:cNvPr id="898" name="왼쪽으로 구부러진 화살표 89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777</xdr:row>
      <xdr:rowOff>0</xdr:rowOff>
    </xdr:from>
    <xdr:to>
      <xdr:col>9</xdr:col>
      <xdr:colOff>260350</xdr:colOff>
      <xdr:row>778</xdr:row>
      <xdr:rowOff>196850</xdr:rowOff>
    </xdr:to>
    <xdr:sp macro="" textlink="">
      <xdr:nvSpPr>
        <xdr:cNvPr id="899" name="왼쪽으로 구부러진 화살표 89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781</xdr:row>
      <xdr:rowOff>0</xdr:rowOff>
    </xdr:from>
    <xdr:to>
      <xdr:col>9</xdr:col>
      <xdr:colOff>260350</xdr:colOff>
      <xdr:row>782</xdr:row>
      <xdr:rowOff>196850</xdr:rowOff>
    </xdr:to>
    <xdr:sp macro="" textlink="">
      <xdr:nvSpPr>
        <xdr:cNvPr id="900" name="왼쪽으로 구부러진 화살표 89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783</xdr:row>
      <xdr:rowOff>0</xdr:rowOff>
    </xdr:from>
    <xdr:to>
      <xdr:col>9</xdr:col>
      <xdr:colOff>260350</xdr:colOff>
      <xdr:row>784</xdr:row>
      <xdr:rowOff>196850</xdr:rowOff>
    </xdr:to>
    <xdr:sp macro="" textlink="">
      <xdr:nvSpPr>
        <xdr:cNvPr id="901" name="왼쪽으로 구부러진 화살표 90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788</xdr:row>
      <xdr:rowOff>0</xdr:rowOff>
    </xdr:from>
    <xdr:to>
      <xdr:col>9</xdr:col>
      <xdr:colOff>260350</xdr:colOff>
      <xdr:row>789</xdr:row>
      <xdr:rowOff>196850</xdr:rowOff>
    </xdr:to>
    <xdr:sp macro="" textlink="">
      <xdr:nvSpPr>
        <xdr:cNvPr id="902" name="왼쪽으로 구부러진 화살표 90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786</xdr:row>
      <xdr:rowOff>0</xdr:rowOff>
    </xdr:from>
    <xdr:to>
      <xdr:col>9</xdr:col>
      <xdr:colOff>260350</xdr:colOff>
      <xdr:row>787</xdr:row>
      <xdr:rowOff>196850</xdr:rowOff>
    </xdr:to>
    <xdr:sp macro="" textlink="">
      <xdr:nvSpPr>
        <xdr:cNvPr id="903" name="왼쪽으로 구부러진 화살표 90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790</xdr:row>
      <xdr:rowOff>0</xdr:rowOff>
    </xdr:from>
    <xdr:to>
      <xdr:col>9</xdr:col>
      <xdr:colOff>260350</xdr:colOff>
      <xdr:row>791</xdr:row>
      <xdr:rowOff>196850</xdr:rowOff>
    </xdr:to>
    <xdr:sp macro="" textlink="">
      <xdr:nvSpPr>
        <xdr:cNvPr id="904" name="왼쪽으로 구부러진 화살표 90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792</xdr:row>
      <xdr:rowOff>0</xdr:rowOff>
    </xdr:from>
    <xdr:to>
      <xdr:col>9</xdr:col>
      <xdr:colOff>260350</xdr:colOff>
      <xdr:row>793</xdr:row>
      <xdr:rowOff>196850</xdr:rowOff>
    </xdr:to>
    <xdr:sp macro="" textlink="">
      <xdr:nvSpPr>
        <xdr:cNvPr id="905" name="왼쪽으로 구부러진 화살표 90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797</xdr:row>
      <xdr:rowOff>0</xdr:rowOff>
    </xdr:from>
    <xdr:to>
      <xdr:col>9</xdr:col>
      <xdr:colOff>260350</xdr:colOff>
      <xdr:row>798</xdr:row>
      <xdr:rowOff>196850</xdr:rowOff>
    </xdr:to>
    <xdr:sp macro="" textlink="">
      <xdr:nvSpPr>
        <xdr:cNvPr id="906" name="왼쪽으로 구부러진 화살표 90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795</xdr:row>
      <xdr:rowOff>0</xdr:rowOff>
    </xdr:from>
    <xdr:to>
      <xdr:col>9</xdr:col>
      <xdr:colOff>260350</xdr:colOff>
      <xdr:row>796</xdr:row>
      <xdr:rowOff>196850</xdr:rowOff>
    </xdr:to>
    <xdr:sp macro="" textlink="">
      <xdr:nvSpPr>
        <xdr:cNvPr id="907" name="왼쪽으로 구부러진 화살표 90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799</xdr:row>
      <xdr:rowOff>0</xdr:rowOff>
    </xdr:from>
    <xdr:to>
      <xdr:col>9</xdr:col>
      <xdr:colOff>260350</xdr:colOff>
      <xdr:row>800</xdr:row>
      <xdr:rowOff>196850</xdr:rowOff>
    </xdr:to>
    <xdr:sp macro="" textlink="">
      <xdr:nvSpPr>
        <xdr:cNvPr id="908" name="왼쪽으로 구부러진 화살표 90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801</xdr:row>
      <xdr:rowOff>0</xdr:rowOff>
    </xdr:from>
    <xdr:to>
      <xdr:col>9</xdr:col>
      <xdr:colOff>260350</xdr:colOff>
      <xdr:row>802</xdr:row>
      <xdr:rowOff>196850</xdr:rowOff>
    </xdr:to>
    <xdr:sp macro="" textlink="">
      <xdr:nvSpPr>
        <xdr:cNvPr id="909" name="왼쪽으로 구부러진 화살표 90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806</xdr:row>
      <xdr:rowOff>0</xdr:rowOff>
    </xdr:from>
    <xdr:to>
      <xdr:col>9</xdr:col>
      <xdr:colOff>260350</xdr:colOff>
      <xdr:row>807</xdr:row>
      <xdr:rowOff>196850</xdr:rowOff>
    </xdr:to>
    <xdr:sp macro="" textlink="">
      <xdr:nvSpPr>
        <xdr:cNvPr id="910" name="왼쪽으로 구부러진 화살표 90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804</xdr:row>
      <xdr:rowOff>0</xdr:rowOff>
    </xdr:from>
    <xdr:to>
      <xdr:col>9</xdr:col>
      <xdr:colOff>260350</xdr:colOff>
      <xdr:row>805</xdr:row>
      <xdr:rowOff>196850</xdr:rowOff>
    </xdr:to>
    <xdr:sp macro="" textlink="">
      <xdr:nvSpPr>
        <xdr:cNvPr id="911" name="왼쪽으로 구부러진 화살표 91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808</xdr:row>
      <xdr:rowOff>0</xdr:rowOff>
    </xdr:from>
    <xdr:to>
      <xdr:col>9</xdr:col>
      <xdr:colOff>260350</xdr:colOff>
      <xdr:row>809</xdr:row>
      <xdr:rowOff>196850</xdr:rowOff>
    </xdr:to>
    <xdr:sp macro="" textlink="">
      <xdr:nvSpPr>
        <xdr:cNvPr id="912" name="왼쪽으로 구부러진 화살표 91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810</xdr:row>
      <xdr:rowOff>0</xdr:rowOff>
    </xdr:from>
    <xdr:to>
      <xdr:col>9</xdr:col>
      <xdr:colOff>260350</xdr:colOff>
      <xdr:row>811</xdr:row>
      <xdr:rowOff>196850</xdr:rowOff>
    </xdr:to>
    <xdr:sp macro="" textlink="">
      <xdr:nvSpPr>
        <xdr:cNvPr id="913" name="왼쪽으로 구부러진 화살표 91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815</xdr:row>
      <xdr:rowOff>0</xdr:rowOff>
    </xdr:from>
    <xdr:to>
      <xdr:col>9</xdr:col>
      <xdr:colOff>260350</xdr:colOff>
      <xdr:row>816</xdr:row>
      <xdr:rowOff>196850</xdr:rowOff>
    </xdr:to>
    <xdr:sp macro="" textlink="">
      <xdr:nvSpPr>
        <xdr:cNvPr id="914" name="왼쪽으로 구부러진 화살표 91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813</xdr:row>
      <xdr:rowOff>0</xdr:rowOff>
    </xdr:from>
    <xdr:to>
      <xdr:col>9</xdr:col>
      <xdr:colOff>260350</xdr:colOff>
      <xdr:row>814</xdr:row>
      <xdr:rowOff>196850</xdr:rowOff>
    </xdr:to>
    <xdr:sp macro="" textlink="">
      <xdr:nvSpPr>
        <xdr:cNvPr id="915" name="왼쪽으로 구부러진 화살표 91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817</xdr:row>
      <xdr:rowOff>0</xdr:rowOff>
    </xdr:from>
    <xdr:to>
      <xdr:col>9</xdr:col>
      <xdr:colOff>260350</xdr:colOff>
      <xdr:row>818</xdr:row>
      <xdr:rowOff>196850</xdr:rowOff>
    </xdr:to>
    <xdr:sp macro="" textlink="">
      <xdr:nvSpPr>
        <xdr:cNvPr id="916" name="왼쪽으로 구부러진 화살표 91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819</xdr:row>
      <xdr:rowOff>0</xdr:rowOff>
    </xdr:from>
    <xdr:to>
      <xdr:col>9</xdr:col>
      <xdr:colOff>260350</xdr:colOff>
      <xdr:row>820</xdr:row>
      <xdr:rowOff>196850</xdr:rowOff>
    </xdr:to>
    <xdr:sp macro="" textlink="">
      <xdr:nvSpPr>
        <xdr:cNvPr id="917" name="왼쪽으로 구부러진 화살표 91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824</xdr:row>
      <xdr:rowOff>0</xdr:rowOff>
    </xdr:from>
    <xdr:to>
      <xdr:col>9</xdr:col>
      <xdr:colOff>260350</xdr:colOff>
      <xdr:row>825</xdr:row>
      <xdr:rowOff>196850</xdr:rowOff>
    </xdr:to>
    <xdr:sp macro="" textlink="">
      <xdr:nvSpPr>
        <xdr:cNvPr id="918" name="왼쪽으로 구부러진 화살표 91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822</xdr:row>
      <xdr:rowOff>0</xdr:rowOff>
    </xdr:from>
    <xdr:to>
      <xdr:col>9</xdr:col>
      <xdr:colOff>260350</xdr:colOff>
      <xdr:row>823</xdr:row>
      <xdr:rowOff>196850</xdr:rowOff>
    </xdr:to>
    <xdr:sp macro="" textlink="">
      <xdr:nvSpPr>
        <xdr:cNvPr id="919" name="왼쪽으로 구부러진 화살표 91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826</xdr:row>
      <xdr:rowOff>0</xdr:rowOff>
    </xdr:from>
    <xdr:to>
      <xdr:col>9</xdr:col>
      <xdr:colOff>260350</xdr:colOff>
      <xdr:row>827</xdr:row>
      <xdr:rowOff>196850</xdr:rowOff>
    </xdr:to>
    <xdr:sp macro="" textlink="">
      <xdr:nvSpPr>
        <xdr:cNvPr id="920" name="왼쪽으로 구부러진 화살표 91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828</xdr:row>
      <xdr:rowOff>0</xdr:rowOff>
    </xdr:from>
    <xdr:to>
      <xdr:col>9</xdr:col>
      <xdr:colOff>260350</xdr:colOff>
      <xdr:row>829</xdr:row>
      <xdr:rowOff>196850</xdr:rowOff>
    </xdr:to>
    <xdr:sp macro="" textlink="">
      <xdr:nvSpPr>
        <xdr:cNvPr id="921" name="왼쪽으로 구부러진 화살표 92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833</xdr:row>
      <xdr:rowOff>0</xdr:rowOff>
    </xdr:from>
    <xdr:to>
      <xdr:col>9</xdr:col>
      <xdr:colOff>260350</xdr:colOff>
      <xdr:row>834</xdr:row>
      <xdr:rowOff>196850</xdr:rowOff>
    </xdr:to>
    <xdr:sp macro="" textlink="">
      <xdr:nvSpPr>
        <xdr:cNvPr id="922" name="왼쪽으로 구부러진 화살표 92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</xdr:row>
      <xdr:rowOff>0</xdr:rowOff>
    </xdr:from>
    <xdr:to>
      <xdr:col>9</xdr:col>
      <xdr:colOff>260350</xdr:colOff>
      <xdr:row>832</xdr:row>
      <xdr:rowOff>196850</xdr:rowOff>
    </xdr:to>
    <xdr:sp macro="" textlink="">
      <xdr:nvSpPr>
        <xdr:cNvPr id="923" name="왼쪽으로 구부러진 화살표 92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835</xdr:row>
      <xdr:rowOff>0</xdr:rowOff>
    </xdr:from>
    <xdr:to>
      <xdr:col>9</xdr:col>
      <xdr:colOff>260350</xdr:colOff>
      <xdr:row>836</xdr:row>
      <xdr:rowOff>196850</xdr:rowOff>
    </xdr:to>
    <xdr:sp macro="" textlink="">
      <xdr:nvSpPr>
        <xdr:cNvPr id="924" name="왼쪽으로 구부러진 화살표 92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837</xdr:row>
      <xdr:rowOff>0</xdr:rowOff>
    </xdr:from>
    <xdr:to>
      <xdr:col>9</xdr:col>
      <xdr:colOff>260350</xdr:colOff>
      <xdr:row>838</xdr:row>
      <xdr:rowOff>196850</xdr:rowOff>
    </xdr:to>
    <xdr:sp macro="" textlink="">
      <xdr:nvSpPr>
        <xdr:cNvPr id="925" name="왼쪽으로 구부러진 화살표 92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842</xdr:row>
      <xdr:rowOff>0</xdr:rowOff>
    </xdr:from>
    <xdr:to>
      <xdr:col>9</xdr:col>
      <xdr:colOff>260350</xdr:colOff>
      <xdr:row>843</xdr:row>
      <xdr:rowOff>196850</xdr:rowOff>
    </xdr:to>
    <xdr:sp macro="" textlink="">
      <xdr:nvSpPr>
        <xdr:cNvPr id="926" name="왼쪽으로 구부러진 화살표 92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840</xdr:row>
      <xdr:rowOff>0</xdr:rowOff>
    </xdr:from>
    <xdr:to>
      <xdr:col>9</xdr:col>
      <xdr:colOff>260350</xdr:colOff>
      <xdr:row>841</xdr:row>
      <xdr:rowOff>196850</xdr:rowOff>
    </xdr:to>
    <xdr:sp macro="" textlink="">
      <xdr:nvSpPr>
        <xdr:cNvPr id="927" name="왼쪽으로 구부러진 화살표 92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844</xdr:row>
      <xdr:rowOff>0</xdr:rowOff>
    </xdr:from>
    <xdr:to>
      <xdr:col>9</xdr:col>
      <xdr:colOff>260350</xdr:colOff>
      <xdr:row>845</xdr:row>
      <xdr:rowOff>196850</xdr:rowOff>
    </xdr:to>
    <xdr:sp macro="" textlink="">
      <xdr:nvSpPr>
        <xdr:cNvPr id="928" name="왼쪽으로 구부러진 화살표 92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846</xdr:row>
      <xdr:rowOff>0</xdr:rowOff>
    </xdr:from>
    <xdr:to>
      <xdr:col>9</xdr:col>
      <xdr:colOff>260350</xdr:colOff>
      <xdr:row>847</xdr:row>
      <xdr:rowOff>196850</xdr:rowOff>
    </xdr:to>
    <xdr:sp macro="" textlink="">
      <xdr:nvSpPr>
        <xdr:cNvPr id="929" name="왼쪽으로 구부러진 화살표 92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851</xdr:row>
      <xdr:rowOff>0</xdr:rowOff>
    </xdr:from>
    <xdr:to>
      <xdr:col>9</xdr:col>
      <xdr:colOff>260350</xdr:colOff>
      <xdr:row>852</xdr:row>
      <xdr:rowOff>196850</xdr:rowOff>
    </xdr:to>
    <xdr:sp macro="" textlink="">
      <xdr:nvSpPr>
        <xdr:cNvPr id="930" name="왼쪽으로 구부러진 화살표 92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849</xdr:row>
      <xdr:rowOff>0</xdr:rowOff>
    </xdr:from>
    <xdr:to>
      <xdr:col>9</xdr:col>
      <xdr:colOff>260350</xdr:colOff>
      <xdr:row>850</xdr:row>
      <xdr:rowOff>196850</xdr:rowOff>
    </xdr:to>
    <xdr:sp macro="" textlink="">
      <xdr:nvSpPr>
        <xdr:cNvPr id="931" name="왼쪽으로 구부러진 화살표 93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853</xdr:row>
      <xdr:rowOff>0</xdr:rowOff>
    </xdr:from>
    <xdr:to>
      <xdr:col>9</xdr:col>
      <xdr:colOff>260350</xdr:colOff>
      <xdr:row>854</xdr:row>
      <xdr:rowOff>196850</xdr:rowOff>
    </xdr:to>
    <xdr:sp macro="" textlink="">
      <xdr:nvSpPr>
        <xdr:cNvPr id="932" name="왼쪽으로 구부러진 화살표 93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855</xdr:row>
      <xdr:rowOff>0</xdr:rowOff>
    </xdr:from>
    <xdr:to>
      <xdr:col>9</xdr:col>
      <xdr:colOff>260350</xdr:colOff>
      <xdr:row>856</xdr:row>
      <xdr:rowOff>196850</xdr:rowOff>
    </xdr:to>
    <xdr:sp macro="" textlink="">
      <xdr:nvSpPr>
        <xdr:cNvPr id="933" name="왼쪽으로 구부러진 화살표 93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860</xdr:row>
      <xdr:rowOff>0</xdr:rowOff>
    </xdr:from>
    <xdr:to>
      <xdr:col>9</xdr:col>
      <xdr:colOff>260350</xdr:colOff>
      <xdr:row>861</xdr:row>
      <xdr:rowOff>196850</xdr:rowOff>
    </xdr:to>
    <xdr:sp macro="" textlink="">
      <xdr:nvSpPr>
        <xdr:cNvPr id="934" name="왼쪽으로 구부러진 화살표 93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858</xdr:row>
      <xdr:rowOff>0</xdr:rowOff>
    </xdr:from>
    <xdr:to>
      <xdr:col>9</xdr:col>
      <xdr:colOff>260350</xdr:colOff>
      <xdr:row>859</xdr:row>
      <xdr:rowOff>196850</xdr:rowOff>
    </xdr:to>
    <xdr:sp macro="" textlink="">
      <xdr:nvSpPr>
        <xdr:cNvPr id="935" name="왼쪽으로 구부러진 화살표 93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862</xdr:row>
      <xdr:rowOff>0</xdr:rowOff>
    </xdr:from>
    <xdr:to>
      <xdr:col>9</xdr:col>
      <xdr:colOff>260350</xdr:colOff>
      <xdr:row>863</xdr:row>
      <xdr:rowOff>196850</xdr:rowOff>
    </xdr:to>
    <xdr:sp macro="" textlink="">
      <xdr:nvSpPr>
        <xdr:cNvPr id="936" name="왼쪽으로 구부러진 화살표 93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864</xdr:row>
      <xdr:rowOff>0</xdr:rowOff>
    </xdr:from>
    <xdr:to>
      <xdr:col>9</xdr:col>
      <xdr:colOff>260350</xdr:colOff>
      <xdr:row>865</xdr:row>
      <xdr:rowOff>196850</xdr:rowOff>
    </xdr:to>
    <xdr:sp macro="" textlink="">
      <xdr:nvSpPr>
        <xdr:cNvPr id="937" name="왼쪽으로 구부러진 화살표 93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869</xdr:row>
      <xdr:rowOff>0</xdr:rowOff>
    </xdr:from>
    <xdr:to>
      <xdr:col>9</xdr:col>
      <xdr:colOff>260350</xdr:colOff>
      <xdr:row>870</xdr:row>
      <xdr:rowOff>196850</xdr:rowOff>
    </xdr:to>
    <xdr:sp macro="" textlink="">
      <xdr:nvSpPr>
        <xdr:cNvPr id="938" name="왼쪽으로 구부러진 화살표 937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867</xdr:row>
      <xdr:rowOff>0</xdr:rowOff>
    </xdr:from>
    <xdr:to>
      <xdr:col>9</xdr:col>
      <xdr:colOff>260350</xdr:colOff>
      <xdr:row>868</xdr:row>
      <xdr:rowOff>196850</xdr:rowOff>
    </xdr:to>
    <xdr:sp macro="" textlink="">
      <xdr:nvSpPr>
        <xdr:cNvPr id="939" name="왼쪽으로 구부러진 화살표 938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871</xdr:row>
      <xdr:rowOff>0</xdr:rowOff>
    </xdr:from>
    <xdr:to>
      <xdr:col>9</xdr:col>
      <xdr:colOff>260350</xdr:colOff>
      <xdr:row>872</xdr:row>
      <xdr:rowOff>196850</xdr:rowOff>
    </xdr:to>
    <xdr:sp macro="" textlink="">
      <xdr:nvSpPr>
        <xdr:cNvPr id="940" name="왼쪽으로 구부러진 화살표 939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873</xdr:row>
      <xdr:rowOff>0</xdr:rowOff>
    </xdr:from>
    <xdr:to>
      <xdr:col>9</xdr:col>
      <xdr:colOff>260350</xdr:colOff>
      <xdr:row>874</xdr:row>
      <xdr:rowOff>196850</xdr:rowOff>
    </xdr:to>
    <xdr:sp macro="" textlink="">
      <xdr:nvSpPr>
        <xdr:cNvPr id="941" name="왼쪽으로 구부러진 화살표 940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878</xdr:row>
      <xdr:rowOff>0</xdr:rowOff>
    </xdr:from>
    <xdr:to>
      <xdr:col>9</xdr:col>
      <xdr:colOff>260350</xdr:colOff>
      <xdr:row>879</xdr:row>
      <xdr:rowOff>196850</xdr:rowOff>
    </xdr:to>
    <xdr:sp macro="" textlink="">
      <xdr:nvSpPr>
        <xdr:cNvPr id="942" name="왼쪽으로 구부러진 화살표 941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876</xdr:row>
      <xdr:rowOff>0</xdr:rowOff>
    </xdr:from>
    <xdr:to>
      <xdr:col>9</xdr:col>
      <xdr:colOff>260350</xdr:colOff>
      <xdr:row>877</xdr:row>
      <xdr:rowOff>196850</xdr:rowOff>
    </xdr:to>
    <xdr:sp macro="" textlink="">
      <xdr:nvSpPr>
        <xdr:cNvPr id="943" name="왼쪽으로 구부러진 화살표 942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880</xdr:row>
      <xdr:rowOff>0</xdr:rowOff>
    </xdr:from>
    <xdr:to>
      <xdr:col>9</xdr:col>
      <xdr:colOff>260350</xdr:colOff>
      <xdr:row>881</xdr:row>
      <xdr:rowOff>196850</xdr:rowOff>
    </xdr:to>
    <xdr:sp macro="" textlink="">
      <xdr:nvSpPr>
        <xdr:cNvPr id="944" name="왼쪽으로 구부러진 화살표 943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882</xdr:row>
      <xdr:rowOff>0</xdr:rowOff>
    </xdr:from>
    <xdr:to>
      <xdr:col>9</xdr:col>
      <xdr:colOff>260350</xdr:colOff>
      <xdr:row>883</xdr:row>
      <xdr:rowOff>196850</xdr:rowOff>
    </xdr:to>
    <xdr:sp macro="" textlink="">
      <xdr:nvSpPr>
        <xdr:cNvPr id="945" name="왼쪽으로 구부러진 화살표 944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887</xdr:row>
      <xdr:rowOff>0</xdr:rowOff>
    </xdr:from>
    <xdr:to>
      <xdr:col>9</xdr:col>
      <xdr:colOff>260350</xdr:colOff>
      <xdr:row>888</xdr:row>
      <xdr:rowOff>196850</xdr:rowOff>
    </xdr:to>
    <xdr:sp macro="" textlink="">
      <xdr:nvSpPr>
        <xdr:cNvPr id="946" name="왼쪽으로 구부러진 화살표 945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885</xdr:row>
      <xdr:rowOff>0</xdr:rowOff>
    </xdr:from>
    <xdr:to>
      <xdr:col>9</xdr:col>
      <xdr:colOff>260350</xdr:colOff>
      <xdr:row>886</xdr:row>
      <xdr:rowOff>196850</xdr:rowOff>
    </xdr:to>
    <xdr:sp macro="" textlink="">
      <xdr:nvSpPr>
        <xdr:cNvPr id="947" name="왼쪽으로 구부러진 화살표 946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889</xdr:row>
      <xdr:rowOff>0</xdr:rowOff>
    </xdr:from>
    <xdr:to>
      <xdr:col>9</xdr:col>
      <xdr:colOff>260350</xdr:colOff>
      <xdr:row>890</xdr:row>
      <xdr:rowOff>196850</xdr:rowOff>
    </xdr:to>
    <xdr:sp macro="" textlink="">
      <xdr:nvSpPr>
        <xdr:cNvPr id="948" name="왼쪽으로 구부러진 화살표 947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891</xdr:row>
      <xdr:rowOff>0</xdr:rowOff>
    </xdr:from>
    <xdr:to>
      <xdr:col>9</xdr:col>
      <xdr:colOff>260350</xdr:colOff>
      <xdr:row>892</xdr:row>
      <xdr:rowOff>196850</xdr:rowOff>
    </xdr:to>
    <xdr:sp macro="" textlink="">
      <xdr:nvSpPr>
        <xdr:cNvPr id="949" name="왼쪽으로 구부러진 화살표 948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896</xdr:row>
      <xdr:rowOff>0</xdr:rowOff>
    </xdr:from>
    <xdr:to>
      <xdr:col>9</xdr:col>
      <xdr:colOff>260350</xdr:colOff>
      <xdr:row>897</xdr:row>
      <xdr:rowOff>196850</xdr:rowOff>
    </xdr:to>
    <xdr:sp macro="" textlink="">
      <xdr:nvSpPr>
        <xdr:cNvPr id="950" name="왼쪽으로 구부러진 화살표 949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894</xdr:row>
      <xdr:rowOff>0</xdr:rowOff>
    </xdr:from>
    <xdr:to>
      <xdr:col>9</xdr:col>
      <xdr:colOff>260350</xdr:colOff>
      <xdr:row>895</xdr:row>
      <xdr:rowOff>196850</xdr:rowOff>
    </xdr:to>
    <xdr:sp macro="" textlink="">
      <xdr:nvSpPr>
        <xdr:cNvPr id="951" name="왼쪽으로 구부러진 화살표 950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898</xdr:row>
      <xdr:rowOff>0</xdr:rowOff>
    </xdr:from>
    <xdr:to>
      <xdr:col>9</xdr:col>
      <xdr:colOff>260350</xdr:colOff>
      <xdr:row>899</xdr:row>
      <xdr:rowOff>196850</xdr:rowOff>
    </xdr:to>
    <xdr:sp macro="" textlink="">
      <xdr:nvSpPr>
        <xdr:cNvPr id="952" name="왼쪽으로 구부러진 화살표 951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900</xdr:row>
      <xdr:rowOff>0</xdr:rowOff>
    </xdr:from>
    <xdr:to>
      <xdr:col>9</xdr:col>
      <xdr:colOff>260350</xdr:colOff>
      <xdr:row>901</xdr:row>
      <xdr:rowOff>196850</xdr:rowOff>
    </xdr:to>
    <xdr:sp macro="" textlink="">
      <xdr:nvSpPr>
        <xdr:cNvPr id="953" name="왼쪽으로 구부러진 화살표 952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905</xdr:row>
      <xdr:rowOff>0</xdr:rowOff>
    </xdr:from>
    <xdr:to>
      <xdr:col>9</xdr:col>
      <xdr:colOff>260350</xdr:colOff>
      <xdr:row>906</xdr:row>
      <xdr:rowOff>196850</xdr:rowOff>
    </xdr:to>
    <xdr:sp macro="" textlink="">
      <xdr:nvSpPr>
        <xdr:cNvPr id="954" name="왼쪽으로 구부러진 화살표 953"/>
        <xdr:cNvSpPr/>
      </xdr:nvSpPr>
      <xdr:spPr>
        <a:xfrm>
          <a:off x="6343650" y="107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903</xdr:row>
      <xdr:rowOff>0</xdr:rowOff>
    </xdr:from>
    <xdr:to>
      <xdr:col>9</xdr:col>
      <xdr:colOff>260350</xdr:colOff>
      <xdr:row>904</xdr:row>
      <xdr:rowOff>196850</xdr:rowOff>
    </xdr:to>
    <xdr:sp macro="" textlink="">
      <xdr:nvSpPr>
        <xdr:cNvPr id="955" name="왼쪽으로 구부러진 화살표 954"/>
        <xdr:cNvSpPr/>
      </xdr:nvSpPr>
      <xdr:spPr>
        <a:xfrm>
          <a:off x="6343650" y="64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907</xdr:row>
      <xdr:rowOff>0</xdr:rowOff>
    </xdr:from>
    <xdr:to>
      <xdr:col>9</xdr:col>
      <xdr:colOff>260350</xdr:colOff>
      <xdr:row>908</xdr:row>
      <xdr:rowOff>196850</xdr:rowOff>
    </xdr:to>
    <xdr:sp macro="" textlink="">
      <xdr:nvSpPr>
        <xdr:cNvPr id="956" name="왼쪽으로 구부러진 화살표 955"/>
        <xdr:cNvSpPr/>
      </xdr:nvSpPr>
      <xdr:spPr>
        <a:xfrm>
          <a:off x="6343650" y="151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909</xdr:row>
      <xdr:rowOff>0</xdr:rowOff>
    </xdr:from>
    <xdr:to>
      <xdr:col>9</xdr:col>
      <xdr:colOff>260350</xdr:colOff>
      <xdr:row>910</xdr:row>
      <xdr:rowOff>196850</xdr:rowOff>
    </xdr:to>
    <xdr:sp macro="" textlink="">
      <xdr:nvSpPr>
        <xdr:cNvPr id="957" name="왼쪽으로 구부러진 화살표 956"/>
        <xdr:cNvSpPr/>
      </xdr:nvSpPr>
      <xdr:spPr>
        <a:xfrm>
          <a:off x="6343650" y="194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914</xdr:row>
      <xdr:rowOff>0</xdr:rowOff>
    </xdr:from>
    <xdr:to>
      <xdr:col>9</xdr:col>
      <xdr:colOff>260350</xdr:colOff>
      <xdr:row>915</xdr:row>
      <xdr:rowOff>196850</xdr:rowOff>
    </xdr:to>
    <xdr:sp macro="" textlink="">
      <xdr:nvSpPr>
        <xdr:cNvPr id="958" name="왼쪽으로 구부러진 화살표 957"/>
        <xdr:cNvSpPr/>
      </xdr:nvSpPr>
      <xdr:spPr>
        <a:xfrm>
          <a:off x="6343650" y="1953895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912</xdr:row>
      <xdr:rowOff>0</xdr:rowOff>
    </xdr:from>
    <xdr:to>
      <xdr:col>9</xdr:col>
      <xdr:colOff>260350</xdr:colOff>
      <xdr:row>913</xdr:row>
      <xdr:rowOff>196850</xdr:rowOff>
    </xdr:to>
    <xdr:sp macro="" textlink="">
      <xdr:nvSpPr>
        <xdr:cNvPr id="959" name="왼쪽으로 구부러진 화살표 958"/>
        <xdr:cNvSpPr/>
      </xdr:nvSpPr>
      <xdr:spPr>
        <a:xfrm>
          <a:off x="6343650" y="1949577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916</xdr:row>
      <xdr:rowOff>0</xdr:rowOff>
    </xdr:from>
    <xdr:to>
      <xdr:col>9</xdr:col>
      <xdr:colOff>260350</xdr:colOff>
      <xdr:row>917</xdr:row>
      <xdr:rowOff>196850</xdr:rowOff>
    </xdr:to>
    <xdr:sp macro="" textlink="">
      <xdr:nvSpPr>
        <xdr:cNvPr id="960" name="왼쪽으로 구부러진 화살표 959"/>
        <xdr:cNvSpPr/>
      </xdr:nvSpPr>
      <xdr:spPr>
        <a:xfrm>
          <a:off x="6343650" y="1958213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918</xdr:row>
      <xdr:rowOff>0</xdr:rowOff>
    </xdr:from>
    <xdr:to>
      <xdr:col>9</xdr:col>
      <xdr:colOff>260350</xdr:colOff>
      <xdr:row>919</xdr:row>
      <xdr:rowOff>196850</xdr:rowOff>
    </xdr:to>
    <xdr:sp macro="" textlink="">
      <xdr:nvSpPr>
        <xdr:cNvPr id="961" name="왼쪽으로 구부러진 화살표 960"/>
        <xdr:cNvSpPr/>
      </xdr:nvSpPr>
      <xdr:spPr>
        <a:xfrm>
          <a:off x="6343650" y="196253100"/>
          <a:ext cx="260350" cy="41275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</xdr:row>
      <xdr:rowOff>57150</xdr:rowOff>
    </xdr:from>
    <xdr:to>
      <xdr:col>4</xdr:col>
      <xdr:colOff>0</xdr:colOff>
      <xdr:row>3</xdr:row>
      <xdr:rowOff>171450</xdr:rowOff>
    </xdr:to>
    <xdr:sp macro="" textlink="">
      <xdr:nvSpPr>
        <xdr:cNvPr id="2" name="오른쪽 화살표 1"/>
        <xdr:cNvSpPr/>
      </xdr:nvSpPr>
      <xdr:spPr>
        <a:xfrm>
          <a:off x="2012950" y="70485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10</xdr:row>
      <xdr:rowOff>38100</xdr:rowOff>
    </xdr:from>
    <xdr:to>
      <xdr:col>3</xdr:col>
      <xdr:colOff>304800</xdr:colOff>
      <xdr:row>10</xdr:row>
      <xdr:rowOff>165100</xdr:rowOff>
    </xdr:to>
    <xdr:sp macro="" textlink="">
      <xdr:nvSpPr>
        <xdr:cNvPr id="3" name="왼쪽 화살표 2"/>
        <xdr:cNvSpPr/>
      </xdr:nvSpPr>
      <xdr:spPr>
        <a:xfrm>
          <a:off x="2000250" y="21971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3</xdr:col>
      <xdr:colOff>304800</xdr:colOff>
      <xdr:row>15</xdr:row>
      <xdr:rowOff>6350</xdr:rowOff>
    </xdr:to>
    <xdr:sp macro="" textlink="">
      <xdr:nvSpPr>
        <xdr:cNvPr id="964" name="오른쪽으로 구부러진 화살표 963"/>
        <xdr:cNvSpPr/>
      </xdr:nvSpPr>
      <xdr:spPr>
        <a:xfrm>
          <a:off x="2006600" y="8636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3</xdr:col>
      <xdr:colOff>304800</xdr:colOff>
      <xdr:row>17</xdr:row>
      <xdr:rowOff>6350</xdr:rowOff>
    </xdr:to>
    <xdr:sp macro="" textlink="">
      <xdr:nvSpPr>
        <xdr:cNvPr id="965" name="오른쪽으로 구부러진 화살표 964"/>
        <xdr:cNvSpPr/>
      </xdr:nvSpPr>
      <xdr:spPr>
        <a:xfrm>
          <a:off x="2006600" y="12954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3</xdr:col>
      <xdr:colOff>304800</xdr:colOff>
      <xdr:row>19</xdr:row>
      <xdr:rowOff>6350</xdr:rowOff>
    </xdr:to>
    <xdr:sp macro="" textlink="">
      <xdr:nvSpPr>
        <xdr:cNvPr id="966" name="오른쪽으로 구부러진 화살표 965"/>
        <xdr:cNvSpPr/>
      </xdr:nvSpPr>
      <xdr:spPr>
        <a:xfrm>
          <a:off x="2006600" y="17272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12</xdr:row>
      <xdr:rowOff>76200</xdr:rowOff>
    </xdr:from>
    <xdr:to>
      <xdr:col>4</xdr:col>
      <xdr:colOff>0</xdr:colOff>
      <xdr:row>12</xdr:row>
      <xdr:rowOff>190500</xdr:rowOff>
    </xdr:to>
    <xdr:sp macro="" textlink="">
      <xdr:nvSpPr>
        <xdr:cNvPr id="967" name="오른쪽 화살표 96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19</xdr:row>
      <xdr:rowOff>38100</xdr:rowOff>
    </xdr:from>
    <xdr:to>
      <xdr:col>3</xdr:col>
      <xdr:colOff>304800</xdr:colOff>
      <xdr:row>19</xdr:row>
      <xdr:rowOff>165100</xdr:rowOff>
    </xdr:to>
    <xdr:sp macro="" textlink="">
      <xdr:nvSpPr>
        <xdr:cNvPr id="968" name="왼쪽 화살표 967"/>
        <xdr:cNvSpPr/>
      </xdr:nvSpPr>
      <xdr:spPr>
        <a:xfrm>
          <a:off x="2000250" y="21971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3</xdr:col>
      <xdr:colOff>304800</xdr:colOff>
      <xdr:row>24</xdr:row>
      <xdr:rowOff>6350</xdr:rowOff>
    </xdr:to>
    <xdr:sp macro="" textlink="">
      <xdr:nvSpPr>
        <xdr:cNvPr id="969" name="오른쪽으로 구부러진 화살표 96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</xdr:row>
      <xdr:rowOff>0</xdr:rowOff>
    </xdr:from>
    <xdr:to>
      <xdr:col>3</xdr:col>
      <xdr:colOff>304800</xdr:colOff>
      <xdr:row>26</xdr:row>
      <xdr:rowOff>6350</xdr:rowOff>
    </xdr:to>
    <xdr:sp macro="" textlink="">
      <xdr:nvSpPr>
        <xdr:cNvPr id="970" name="오른쪽으로 구부러진 화살표 96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3</xdr:col>
      <xdr:colOff>304800</xdr:colOff>
      <xdr:row>28</xdr:row>
      <xdr:rowOff>6350</xdr:rowOff>
    </xdr:to>
    <xdr:sp macro="" textlink="">
      <xdr:nvSpPr>
        <xdr:cNvPr id="971" name="오른쪽으로 구부러진 화살표 97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3</xdr:col>
      <xdr:colOff>304800</xdr:colOff>
      <xdr:row>24</xdr:row>
      <xdr:rowOff>6350</xdr:rowOff>
    </xdr:to>
    <xdr:sp macro="" textlink="">
      <xdr:nvSpPr>
        <xdr:cNvPr id="972" name="오른쪽으로 구부러진 화살표 97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</xdr:row>
      <xdr:rowOff>0</xdr:rowOff>
    </xdr:from>
    <xdr:to>
      <xdr:col>3</xdr:col>
      <xdr:colOff>304800</xdr:colOff>
      <xdr:row>26</xdr:row>
      <xdr:rowOff>6350</xdr:rowOff>
    </xdr:to>
    <xdr:sp macro="" textlink="">
      <xdr:nvSpPr>
        <xdr:cNvPr id="973" name="오른쪽으로 구부러진 화살표 97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3</xdr:col>
      <xdr:colOff>304800</xdr:colOff>
      <xdr:row>28</xdr:row>
      <xdr:rowOff>6350</xdr:rowOff>
    </xdr:to>
    <xdr:sp macro="" textlink="">
      <xdr:nvSpPr>
        <xdr:cNvPr id="974" name="오른쪽으로 구부러진 화살표 97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21</xdr:row>
      <xdr:rowOff>76200</xdr:rowOff>
    </xdr:from>
    <xdr:to>
      <xdr:col>4</xdr:col>
      <xdr:colOff>0</xdr:colOff>
      <xdr:row>21</xdr:row>
      <xdr:rowOff>190500</xdr:rowOff>
    </xdr:to>
    <xdr:sp macro="" textlink="">
      <xdr:nvSpPr>
        <xdr:cNvPr id="975" name="오른쪽 화살표 97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28</xdr:row>
      <xdr:rowOff>38100</xdr:rowOff>
    </xdr:from>
    <xdr:to>
      <xdr:col>3</xdr:col>
      <xdr:colOff>304800</xdr:colOff>
      <xdr:row>28</xdr:row>
      <xdr:rowOff>165100</xdr:rowOff>
    </xdr:to>
    <xdr:sp macro="" textlink="">
      <xdr:nvSpPr>
        <xdr:cNvPr id="976" name="왼쪽 화살표 97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31</xdr:row>
      <xdr:rowOff>0</xdr:rowOff>
    </xdr:from>
    <xdr:to>
      <xdr:col>3</xdr:col>
      <xdr:colOff>304800</xdr:colOff>
      <xdr:row>33</xdr:row>
      <xdr:rowOff>6350</xdr:rowOff>
    </xdr:to>
    <xdr:sp macro="" textlink="">
      <xdr:nvSpPr>
        <xdr:cNvPr id="977" name="오른쪽으로 구부러진 화살표 97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</xdr:row>
      <xdr:rowOff>0</xdr:rowOff>
    </xdr:from>
    <xdr:to>
      <xdr:col>3</xdr:col>
      <xdr:colOff>304800</xdr:colOff>
      <xdr:row>35</xdr:row>
      <xdr:rowOff>6350</xdr:rowOff>
    </xdr:to>
    <xdr:sp macro="" textlink="">
      <xdr:nvSpPr>
        <xdr:cNvPr id="978" name="오른쪽으로 구부러진 화살표 97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</xdr:row>
      <xdr:rowOff>0</xdr:rowOff>
    </xdr:from>
    <xdr:to>
      <xdr:col>3</xdr:col>
      <xdr:colOff>304800</xdr:colOff>
      <xdr:row>37</xdr:row>
      <xdr:rowOff>6350</xdr:rowOff>
    </xdr:to>
    <xdr:sp macro="" textlink="">
      <xdr:nvSpPr>
        <xdr:cNvPr id="979" name="오른쪽으로 구부러진 화살표 97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</xdr:row>
      <xdr:rowOff>0</xdr:rowOff>
    </xdr:from>
    <xdr:to>
      <xdr:col>3</xdr:col>
      <xdr:colOff>304800</xdr:colOff>
      <xdr:row>33</xdr:row>
      <xdr:rowOff>6350</xdr:rowOff>
    </xdr:to>
    <xdr:sp macro="" textlink="">
      <xdr:nvSpPr>
        <xdr:cNvPr id="980" name="오른쪽으로 구부러진 화살표 97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</xdr:row>
      <xdr:rowOff>0</xdr:rowOff>
    </xdr:from>
    <xdr:to>
      <xdr:col>3</xdr:col>
      <xdr:colOff>304800</xdr:colOff>
      <xdr:row>35</xdr:row>
      <xdr:rowOff>6350</xdr:rowOff>
    </xdr:to>
    <xdr:sp macro="" textlink="">
      <xdr:nvSpPr>
        <xdr:cNvPr id="981" name="오른쪽으로 구부러진 화살표 98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</xdr:row>
      <xdr:rowOff>0</xdr:rowOff>
    </xdr:from>
    <xdr:to>
      <xdr:col>3</xdr:col>
      <xdr:colOff>304800</xdr:colOff>
      <xdr:row>37</xdr:row>
      <xdr:rowOff>6350</xdr:rowOff>
    </xdr:to>
    <xdr:sp macro="" textlink="">
      <xdr:nvSpPr>
        <xdr:cNvPr id="982" name="오른쪽으로 구부러진 화살표 98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30</xdr:row>
      <xdr:rowOff>76200</xdr:rowOff>
    </xdr:from>
    <xdr:to>
      <xdr:col>4</xdr:col>
      <xdr:colOff>0</xdr:colOff>
      <xdr:row>30</xdr:row>
      <xdr:rowOff>190500</xdr:rowOff>
    </xdr:to>
    <xdr:sp macro="" textlink="">
      <xdr:nvSpPr>
        <xdr:cNvPr id="983" name="오른쪽 화살표 98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37</xdr:row>
      <xdr:rowOff>38100</xdr:rowOff>
    </xdr:from>
    <xdr:to>
      <xdr:col>3</xdr:col>
      <xdr:colOff>304800</xdr:colOff>
      <xdr:row>37</xdr:row>
      <xdr:rowOff>165100</xdr:rowOff>
    </xdr:to>
    <xdr:sp macro="" textlink="">
      <xdr:nvSpPr>
        <xdr:cNvPr id="984" name="왼쪽 화살표 98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40</xdr:row>
      <xdr:rowOff>0</xdr:rowOff>
    </xdr:from>
    <xdr:to>
      <xdr:col>3</xdr:col>
      <xdr:colOff>304800</xdr:colOff>
      <xdr:row>42</xdr:row>
      <xdr:rowOff>6350</xdr:rowOff>
    </xdr:to>
    <xdr:sp macro="" textlink="">
      <xdr:nvSpPr>
        <xdr:cNvPr id="985" name="오른쪽으로 구부러진 화살표 98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</xdr:row>
      <xdr:rowOff>0</xdr:rowOff>
    </xdr:from>
    <xdr:to>
      <xdr:col>3</xdr:col>
      <xdr:colOff>304800</xdr:colOff>
      <xdr:row>44</xdr:row>
      <xdr:rowOff>6350</xdr:rowOff>
    </xdr:to>
    <xdr:sp macro="" textlink="">
      <xdr:nvSpPr>
        <xdr:cNvPr id="986" name="오른쪽으로 구부러진 화살표 98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</xdr:row>
      <xdr:rowOff>0</xdr:rowOff>
    </xdr:from>
    <xdr:to>
      <xdr:col>3</xdr:col>
      <xdr:colOff>304800</xdr:colOff>
      <xdr:row>46</xdr:row>
      <xdr:rowOff>6350</xdr:rowOff>
    </xdr:to>
    <xdr:sp macro="" textlink="">
      <xdr:nvSpPr>
        <xdr:cNvPr id="987" name="오른쪽으로 구부러진 화살표 98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</xdr:row>
      <xdr:rowOff>0</xdr:rowOff>
    </xdr:from>
    <xdr:to>
      <xdr:col>3</xdr:col>
      <xdr:colOff>304800</xdr:colOff>
      <xdr:row>42</xdr:row>
      <xdr:rowOff>6350</xdr:rowOff>
    </xdr:to>
    <xdr:sp macro="" textlink="">
      <xdr:nvSpPr>
        <xdr:cNvPr id="988" name="오른쪽으로 구부러진 화살표 98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</xdr:row>
      <xdr:rowOff>0</xdr:rowOff>
    </xdr:from>
    <xdr:to>
      <xdr:col>3</xdr:col>
      <xdr:colOff>304800</xdr:colOff>
      <xdr:row>44</xdr:row>
      <xdr:rowOff>6350</xdr:rowOff>
    </xdr:to>
    <xdr:sp macro="" textlink="">
      <xdr:nvSpPr>
        <xdr:cNvPr id="989" name="오른쪽으로 구부러진 화살표 98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</xdr:row>
      <xdr:rowOff>0</xdr:rowOff>
    </xdr:from>
    <xdr:to>
      <xdr:col>3</xdr:col>
      <xdr:colOff>304800</xdr:colOff>
      <xdr:row>46</xdr:row>
      <xdr:rowOff>6350</xdr:rowOff>
    </xdr:to>
    <xdr:sp macro="" textlink="">
      <xdr:nvSpPr>
        <xdr:cNvPr id="990" name="오른쪽으로 구부러진 화살표 98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39</xdr:row>
      <xdr:rowOff>76200</xdr:rowOff>
    </xdr:from>
    <xdr:to>
      <xdr:col>4</xdr:col>
      <xdr:colOff>0</xdr:colOff>
      <xdr:row>39</xdr:row>
      <xdr:rowOff>190500</xdr:rowOff>
    </xdr:to>
    <xdr:sp macro="" textlink="">
      <xdr:nvSpPr>
        <xdr:cNvPr id="991" name="오른쪽 화살표 99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46</xdr:row>
      <xdr:rowOff>38100</xdr:rowOff>
    </xdr:from>
    <xdr:to>
      <xdr:col>3</xdr:col>
      <xdr:colOff>304800</xdr:colOff>
      <xdr:row>46</xdr:row>
      <xdr:rowOff>165100</xdr:rowOff>
    </xdr:to>
    <xdr:sp macro="" textlink="">
      <xdr:nvSpPr>
        <xdr:cNvPr id="992" name="왼쪽 화살표 99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49</xdr:row>
      <xdr:rowOff>0</xdr:rowOff>
    </xdr:from>
    <xdr:to>
      <xdr:col>3</xdr:col>
      <xdr:colOff>304800</xdr:colOff>
      <xdr:row>51</xdr:row>
      <xdr:rowOff>6350</xdr:rowOff>
    </xdr:to>
    <xdr:sp macro="" textlink="">
      <xdr:nvSpPr>
        <xdr:cNvPr id="993" name="오른쪽으로 구부러진 화살표 99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</xdr:row>
      <xdr:rowOff>0</xdr:rowOff>
    </xdr:from>
    <xdr:to>
      <xdr:col>3</xdr:col>
      <xdr:colOff>304800</xdr:colOff>
      <xdr:row>53</xdr:row>
      <xdr:rowOff>6350</xdr:rowOff>
    </xdr:to>
    <xdr:sp macro="" textlink="">
      <xdr:nvSpPr>
        <xdr:cNvPr id="994" name="오른쪽으로 구부러진 화살표 99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</xdr:row>
      <xdr:rowOff>0</xdr:rowOff>
    </xdr:from>
    <xdr:to>
      <xdr:col>3</xdr:col>
      <xdr:colOff>304800</xdr:colOff>
      <xdr:row>55</xdr:row>
      <xdr:rowOff>6350</xdr:rowOff>
    </xdr:to>
    <xdr:sp macro="" textlink="">
      <xdr:nvSpPr>
        <xdr:cNvPr id="995" name="오른쪽으로 구부러진 화살표 99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</xdr:row>
      <xdr:rowOff>0</xdr:rowOff>
    </xdr:from>
    <xdr:to>
      <xdr:col>3</xdr:col>
      <xdr:colOff>304800</xdr:colOff>
      <xdr:row>51</xdr:row>
      <xdr:rowOff>6350</xdr:rowOff>
    </xdr:to>
    <xdr:sp macro="" textlink="">
      <xdr:nvSpPr>
        <xdr:cNvPr id="996" name="오른쪽으로 구부러진 화살표 99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</xdr:row>
      <xdr:rowOff>0</xdr:rowOff>
    </xdr:from>
    <xdr:to>
      <xdr:col>3</xdr:col>
      <xdr:colOff>304800</xdr:colOff>
      <xdr:row>53</xdr:row>
      <xdr:rowOff>6350</xdr:rowOff>
    </xdr:to>
    <xdr:sp macro="" textlink="">
      <xdr:nvSpPr>
        <xdr:cNvPr id="997" name="오른쪽으로 구부러진 화살표 99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</xdr:row>
      <xdr:rowOff>0</xdr:rowOff>
    </xdr:from>
    <xdr:to>
      <xdr:col>3</xdr:col>
      <xdr:colOff>304800</xdr:colOff>
      <xdr:row>55</xdr:row>
      <xdr:rowOff>6350</xdr:rowOff>
    </xdr:to>
    <xdr:sp macro="" textlink="">
      <xdr:nvSpPr>
        <xdr:cNvPr id="998" name="오른쪽으로 구부러진 화살표 99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48</xdr:row>
      <xdr:rowOff>76200</xdr:rowOff>
    </xdr:from>
    <xdr:to>
      <xdr:col>4</xdr:col>
      <xdr:colOff>0</xdr:colOff>
      <xdr:row>48</xdr:row>
      <xdr:rowOff>190500</xdr:rowOff>
    </xdr:to>
    <xdr:sp macro="" textlink="">
      <xdr:nvSpPr>
        <xdr:cNvPr id="999" name="오른쪽 화살표 99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55</xdr:row>
      <xdr:rowOff>38100</xdr:rowOff>
    </xdr:from>
    <xdr:to>
      <xdr:col>3</xdr:col>
      <xdr:colOff>304800</xdr:colOff>
      <xdr:row>55</xdr:row>
      <xdr:rowOff>165100</xdr:rowOff>
    </xdr:to>
    <xdr:sp macro="" textlink="">
      <xdr:nvSpPr>
        <xdr:cNvPr id="1000" name="왼쪽 화살표 99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58</xdr:row>
      <xdr:rowOff>0</xdr:rowOff>
    </xdr:from>
    <xdr:to>
      <xdr:col>3</xdr:col>
      <xdr:colOff>304800</xdr:colOff>
      <xdr:row>60</xdr:row>
      <xdr:rowOff>6350</xdr:rowOff>
    </xdr:to>
    <xdr:sp macro="" textlink="">
      <xdr:nvSpPr>
        <xdr:cNvPr id="1001" name="오른쪽으로 구부러진 화살표 100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</xdr:row>
      <xdr:rowOff>0</xdr:rowOff>
    </xdr:from>
    <xdr:to>
      <xdr:col>3</xdr:col>
      <xdr:colOff>304800</xdr:colOff>
      <xdr:row>62</xdr:row>
      <xdr:rowOff>6350</xdr:rowOff>
    </xdr:to>
    <xdr:sp macro="" textlink="">
      <xdr:nvSpPr>
        <xdr:cNvPr id="1002" name="오른쪽으로 구부러진 화살표 100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</xdr:row>
      <xdr:rowOff>0</xdr:rowOff>
    </xdr:from>
    <xdr:to>
      <xdr:col>3</xdr:col>
      <xdr:colOff>304800</xdr:colOff>
      <xdr:row>64</xdr:row>
      <xdr:rowOff>6350</xdr:rowOff>
    </xdr:to>
    <xdr:sp macro="" textlink="">
      <xdr:nvSpPr>
        <xdr:cNvPr id="1003" name="오른쪽으로 구부러진 화살표 100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</xdr:row>
      <xdr:rowOff>0</xdr:rowOff>
    </xdr:from>
    <xdr:to>
      <xdr:col>3</xdr:col>
      <xdr:colOff>304800</xdr:colOff>
      <xdr:row>60</xdr:row>
      <xdr:rowOff>6350</xdr:rowOff>
    </xdr:to>
    <xdr:sp macro="" textlink="">
      <xdr:nvSpPr>
        <xdr:cNvPr id="1004" name="오른쪽으로 구부러진 화살표 100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</xdr:row>
      <xdr:rowOff>0</xdr:rowOff>
    </xdr:from>
    <xdr:to>
      <xdr:col>3</xdr:col>
      <xdr:colOff>304800</xdr:colOff>
      <xdr:row>62</xdr:row>
      <xdr:rowOff>6350</xdr:rowOff>
    </xdr:to>
    <xdr:sp macro="" textlink="">
      <xdr:nvSpPr>
        <xdr:cNvPr id="1005" name="오른쪽으로 구부러진 화살표 100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</xdr:row>
      <xdr:rowOff>0</xdr:rowOff>
    </xdr:from>
    <xdr:to>
      <xdr:col>3</xdr:col>
      <xdr:colOff>304800</xdr:colOff>
      <xdr:row>64</xdr:row>
      <xdr:rowOff>6350</xdr:rowOff>
    </xdr:to>
    <xdr:sp macro="" textlink="">
      <xdr:nvSpPr>
        <xdr:cNvPr id="1006" name="오른쪽으로 구부러진 화살표 100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57</xdr:row>
      <xdr:rowOff>76200</xdr:rowOff>
    </xdr:from>
    <xdr:to>
      <xdr:col>4</xdr:col>
      <xdr:colOff>0</xdr:colOff>
      <xdr:row>57</xdr:row>
      <xdr:rowOff>190500</xdr:rowOff>
    </xdr:to>
    <xdr:sp macro="" textlink="">
      <xdr:nvSpPr>
        <xdr:cNvPr id="1007" name="오른쪽 화살표 100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64</xdr:row>
      <xdr:rowOff>38100</xdr:rowOff>
    </xdr:from>
    <xdr:to>
      <xdr:col>3</xdr:col>
      <xdr:colOff>304800</xdr:colOff>
      <xdr:row>64</xdr:row>
      <xdr:rowOff>165100</xdr:rowOff>
    </xdr:to>
    <xdr:sp macro="" textlink="">
      <xdr:nvSpPr>
        <xdr:cNvPr id="1008" name="왼쪽 화살표 100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67</xdr:row>
      <xdr:rowOff>0</xdr:rowOff>
    </xdr:from>
    <xdr:to>
      <xdr:col>3</xdr:col>
      <xdr:colOff>304800</xdr:colOff>
      <xdr:row>69</xdr:row>
      <xdr:rowOff>6350</xdr:rowOff>
    </xdr:to>
    <xdr:sp macro="" textlink="">
      <xdr:nvSpPr>
        <xdr:cNvPr id="1009" name="오른쪽으로 구부러진 화살표 100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</xdr:row>
      <xdr:rowOff>0</xdr:rowOff>
    </xdr:from>
    <xdr:to>
      <xdr:col>3</xdr:col>
      <xdr:colOff>304800</xdr:colOff>
      <xdr:row>71</xdr:row>
      <xdr:rowOff>6350</xdr:rowOff>
    </xdr:to>
    <xdr:sp macro="" textlink="">
      <xdr:nvSpPr>
        <xdr:cNvPr id="1010" name="오른쪽으로 구부러진 화살표 100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</xdr:row>
      <xdr:rowOff>0</xdr:rowOff>
    </xdr:from>
    <xdr:to>
      <xdr:col>3</xdr:col>
      <xdr:colOff>304800</xdr:colOff>
      <xdr:row>73</xdr:row>
      <xdr:rowOff>6350</xdr:rowOff>
    </xdr:to>
    <xdr:sp macro="" textlink="">
      <xdr:nvSpPr>
        <xdr:cNvPr id="1011" name="오른쪽으로 구부러진 화살표 101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</xdr:row>
      <xdr:rowOff>0</xdr:rowOff>
    </xdr:from>
    <xdr:to>
      <xdr:col>3</xdr:col>
      <xdr:colOff>304800</xdr:colOff>
      <xdr:row>69</xdr:row>
      <xdr:rowOff>6350</xdr:rowOff>
    </xdr:to>
    <xdr:sp macro="" textlink="">
      <xdr:nvSpPr>
        <xdr:cNvPr id="1012" name="오른쪽으로 구부러진 화살표 101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</xdr:row>
      <xdr:rowOff>0</xdr:rowOff>
    </xdr:from>
    <xdr:to>
      <xdr:col>3</xdr:col>
      <xdr:colOff>304800</xdr:colOff>
      <xdr:row>71</xdr:row>
      <xdr:rowOff>6350</xdr:rowOff>
    </xdr:to>
    <xdr:sp macro="" textlink="">
      <xdr:nvSpPr>
        <xdr:cNvPr id="1013" name="오른쪽으로 구부러진 화살표 101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</xdr:row>
      <xdr:rowOff>0</xdr:rowOff>
    </xdr:from>
    <xdr:to>
      <xdr:col>3</xdr:col>
      <xdr:colOff>304800</xdr:colOff>
      <xdr:row>73</xdr:row>
      <xdr:rowOff>6350</xdr:rowOff>
    </xdr:to>
    <xdr:sp macro="" textlink="">
      <xdr:nvSpPr>
        <xdr:cNvPr id="1014" name="오른쪽으로 구부러진 화살표 101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66</xdr:row>
      <xdr:rowOff>76200</xdr:rowOff>
    </xdr:from>
    <xdr:to>
      <xdr:col>4</xdr:col>
      <xdr:colOff>0</xdr:colOff>
      <xdr:row>66</xdr:row>
      <xdr:rowOff>190500</xdr:rowOff>
    </xdr:to>
    <xdr:sp macro="" textlink="">
      <xdr:nvSpPr>
        <xdr:cNvPr id="1015" name="오른쪽 화살표 101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73</xdr:row>
      <xdr:rowOff>38100</xdr:rowOff>
    </xdr:from>
    <xdr:to>
      <xdr:col>3</xdr:col>
      <xdr:colOff>304800</xdr:colOff>
      <xdr:row>73</xdr:row>
      <xdr:rowOff>165100</xdr:rowOff>
    </xdr:to>
    <xdr:sp macro="" textlink="">
      <xdr:nvSpPr>
        <xdr:cNvPr id="1016" name="왼쪽 화살표 101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76</xdr:row>
      <xdr:rowOff>0</xdr:rowOff>
    </xdr:from>
    <xdr:to>
      <xdr:col>3</xdr:col>
      <xdr:colOff>304800</xdr:colOff>
      <xdr:row>78</xdr:row>
      <xdr:rowOff>6350</xdr:rowOff>
    </xdr:to>
    <xdr:sp macro="" textlink="">
      <xdr:nvSpPr>
        <xdr:cNvPr id="1017" name="오른쪽으로 구부러진 화살표 101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</xdr:row>
      <xdr:rowOff>0</xdr:rowOff>
    </xdr:from>
    <xdr:to>
      <xdr:col>3</xdr:col>
      <xdr:colOff>304800</xdr:colOff>
      <xdr:row>80</xdr:row>
      <xdr:rowOff>6350</xdr:rowOff>
    </xdr:to>
    <xdr:sp macro="" textlink="">
      <xdr:nvSpPr>
        <xdr:cNvPr id="1018" name="오른쪽으로 구부러진 화살표 101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</xdr:row>
      <xdr:rowOff>0</xdr:rowOff>
    </xdr:from>
    <xdr:to>
      <xdr:col>3</xdr:col>
      <xdr:colOff>304800</xdr:colOff>
      <xdr:row>82</xdr:row>
      <xdr:rowOff>6350</xdr:rowOff>
    </xdr:to>
    <xdr:sp macro="" textlink="">
      <xdr:nvSpPr>
        <xdr:cNvPr id="1019" name="오른쪽으로 구부러진 화살표 101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</xdr:row>
      <xdr:rowOff>0</xdr:rowOff>
    </xdr:from>
    <xdr:to>
      <xdr:col>3</xdr:col>
      <xdr:colOff>304800</xdr:colOff>
      <xdr:row>78</xdr:row>
      <xdr:rowOff>6350</xdr:rowOff>
    </xdr:to>
    <xdr:sp macro="" textlink="">
      <xdr:nvSpPr>
        <xdr:cNvPr id="1020" name="오른쪽으로 구부러진 화살표 101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</xdr:row>
      <xdr:rowOff>0</xdr:rowOff>
    </xdr:from>
    <xdr:to>
      <xdr:col>3</xdr:col>
      <xdr:colOff>304800</xdr:colOff>
      <xdr:row>80</xdr:row>
      <xdr:rowOff>6350</xdr:rowOff>
    </xdr:to>
    <xdr:sp macro="" textlink="">
      <xdr:nvSpPr>
        <xdr:cNvPr id="1021" name="오른쪽으로 구부러진 화살표 102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</xdr:row>
      <xdr:rowOff>0</xdr:rowOff>
    </xdr:from>
    <xdr:to>
      <xdr:col>3</xdr:col>
      <xdr:colOff>304800</xdr:colOff>
      <xdr:row>82</xdr:row>
      <xdr:rowOff>6350</xdr:rowOff>
    </xdr:to>
    <xdr:sp macro="" textlink="">
      <xdr:nvSpPr>
        <xdr:cNvPr id="1022" name="오른쪽으로 구부러진 화살표 102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75</xdr:row>
      <xdr:rowOff>76200</xdr:rowOff>
    </xdr:from>
    <xdr:to>
      <xdr:col>4</xdr:col>
      <xdr:colOff>0</xdr:colOff>
      <xdr:row>75</xdr:row>
      <xdr:rowOff>190500</xdr:rowOff>
    </xdr:to>
    <xdr:sp macro="" textlink="">
      <xdr:nvSpPr>
        <xdr:cNvPr id="1023" name="오른쪽 화살표 102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82</xdr:row>
      <xdr:rowOff>38100</xdr:rowOff>
    </xdr:from>
    <xdr:to>
      <xdr:col>3</xdr:col>
      <xdr:colOff>304800</xdr:colOff>
      <xdr:row>82</xdr:row>
      <xdr:rowOff>165100</xdr:rowOff>
    </xdr:to>
    <xdr:sp macro="" textlink="">
      <xdr:nvSpPr>
        <xdr:cNvPr id="1024" name="왼쪽 화살표 102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85</xdr:row>
      <xdr:rowOff>0</xdr:rowOff>
    </xdr:from>
    <xdr:to>
      <xdr:col>3</xdr:col>
      <xdr:colOff>304800</xdr:colOff>
      <xdr:row>87</xdr:row>
      <xdr:rowOff>6350</xdr:rowOff>
    </xdr:to>
    <xdr:sp macro="" textlink="">
      <xdr:nvSpPr>
        <xdr:cNvPr id="1025" name="오른쪽으로 구부러진 화살표 102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</xdr:row>
      <xdr:rowOff>0</xdr:rowOff>
    </xdr:from>
    <xdr:to>
      <xdr:col>3</xdr:col>
      <xdr:colOff>304800</xdr:colOff>
      <xdr:row>89</xdr:row>
      <xdr:rowOff>6350</xdr:rowOff>
    </xdr:to>
    <xdr:sp macro="" textlink="">
      <xdr:nvSpPr>
        <xdr:cNvPr id="1026" name="오른쪽으로 구부러진 화살표 102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</xdr:row>
      <xdr:rowOff>0</xdr:rowOff>
    </xdr:from>
    <xdr:to>
      <xdr:col>3</xdr:col>
      <xdr:colOff>304800</xdr:colOff>
      <xdr:row>91</xdr:row>
      <xdr:rowOff>6350</xdr:rowOff>
    </xdr:to>
    <xdr:sp macro="" textlink="">
      <xdr:nvSpPr>
        <xdr:cNvPr id="1027" name="오른쪽으로 구부러진 화살표 102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</xdr:row>
      <xdr:rowOff>0</xdr:rowOff>
    </xdr:from>
    <xdr:to>
      <xdr:col>3</xdr:col>
      <xdr:colOff>304800</xdr:colOff>
      <xdr:row>87</xdr:row>
      <xdr:rowOff>6350</xdr:rowOff>
    </xdr:to>
    <xdr:sp macro="" textlink="">
      <xdr:nvSpPr>
        <xdr:cNvPr id="1028" name="오른쪽으로 구부러진 화살표 102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</xdr:row>
      <xdr:rowOff>0</xdr:rowOff>
    </xdr:from>
    <xdr:to>
      <xdr:col>3</xdr:col>
      <xdr:colOff>304800</xdr:colOff>
      <xdr:row>89</xdr:row>
      <xdr:rowOff>6350</xdr:rowOff>
    </xdr:to>
    <xdr:sp macro="" textlink="">
      <xdr:nvSpPr>
        <xdr:cNvPr id="1029" name="오른쪽으로 구부러진 화살표 102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</xdr:row>
      <xdr:rowOff>0</xdr:rowOff>
    </xdr:from>
    <xdr:to>
      <xdr:col>3</xdr:col>
      <xdr:colOff>304800</xdr:colOff>
      <xdr:row>91</xdr:row>
      <xdr:rowOff>6350</xdr:rowOff>
    </xdr:to>
    <xdr:sp macro="" textlink="">
      <xdr:nvSpPr>
        <xdr:cNvPr id="1030" name="오른쪽으로 구부러진 화살표 102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84</xdr:row>
      <xdr:rowOff>76200</xdr:rowOff>
    </xdr:from>
    <xdr:to>
      <xdr:col>4</xdr:col>
      <xdr:colOff>0</xdr:colOff>
      <xdr:row>84</xdr:row>
      <xdr:rowOff>190500</xdr:rowOff>
    </xdr:to>
    <xdr:sp macro="" textlink="">
      <xdr:nvSpPr>
        <xdr:cNvPr id="1031" name="오른쪽 화살표 103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91</xdr:row>
      <xdr:rowOff>38100</xdr:rowOff>
    </xdr:from>
    <xdr:to>
      <xdr:col>3</xdr:col>
      <xdr:colOff>304800</xdr:colOff>
      <xdr:row>91</xdr:row>
      <xdr:rowOff>165100</xdr:rowOff>
    </xdr:to>
    <xdr:sp macro="" textlink="">
      <xdr:nvSpPr>
        <xdr:cNvPr id="1032" name="왼쪽 화살표 103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3</xdr:col>
      <xdr:colOff>304800</xdr:colOff>
      <xdr:row>96</xdr:row>
      <xdr:rowOff>6350</xdr:rowOff>
    </xdr:to>
    <xdr:sp macro="" textlink="">
      <xdr:nvSpPr>
        <xdr:cNvPr id="1033" name="오른쪽으로 구부러진 화살표 103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96</xdr:row>
      <xdr:rowOff>0</xdr:rowOff>
    </xdr:from>
    <xdr:to>
      <xdr:col>3</xdr:col>
      <xdr:colOff>304800</xdr:colOff>
      <xdr:row>98</xdr:row>
      <xdr:rowOff>6350</xdr:rowOff>
    </xdr:to>
    <xdr:sp macro="" textlink="">
      <xdr:nvSpPr>
        <xdr:cNvPr id="1034" name="오른쪽으로 구부러진 화살표 103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98</xdr:row>
      <xdr:rowOff>0</xdr:rowOff>
    </xdr:from>
    <xdr:to>
      <xdr:col>3</xdr:col>
      <xdr:colOff>304800</xdr:colOff>
      <xdr:row>100</xdr:row>
      <xdr:rowOff>6350</xdr:rowOff>
    </xdr:to>
    <xdr:sp macro="" textlink="">
      <xdr:nvSpPr>
        <xdr:cNvPr id="1035" name="오른쪽으로 구부러진 화살표 103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3</xdr:col>
      <xdr:colOff>304800</xdr:colOff>
      <xdr:row>96</xdr:row>
      <xdr:rowOff>6350</xdr:rowOff>
    </xdr:to>
    <xdr:sp macro="" textlink="">
      <xdr:nvSpPr>
        <xdr:cNvPr id="1036" name="오른쪽으로 구부러진 화살표 103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96</xdr:row>
      <xdr:rowOff>0</xdr:rowOff>
    </xdr:from>
    <xdr:to>
      <xdr:col>3</xdr:col>
      <xdr:colOff>304800</xdr:colOff>
      <xdr:row>98</xdr:row>
      <xdr:rowOff>6350</xdr:rowOff>
    </xdr:to>
    <xdr:sp macro="" textlink="">
      <xdr:nvSpPr>
        <xdr:cNvPr id="1037" name="오른쪽으로 구부러진 화살표 103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98</xdr:row>
      <xdr:rowOff>0</xdr:rowOff>
    </xdr:from>
    <xdr:to>
      <xdr:col>3</xdr:col>
      <xdr:colOff>304800</xdr:colOff>
      <xdr:row>100</xdr:row>
      <xdr:rowOff>6350</xdr:rowOff>
    </xdr:to>
    <xdr:sp macro="" textlink="">
      <xdr:nvSpPr>
        <xdr:cNvPr id="1038" name="오른쪽으로 구부러진 화살표 103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93</xdr:row>
      <xdr:rowOff>76200</xdr:rowOff>
    </xdr:from>
    <xdr:to>
      <xdr:col>4</xdr:col>
      <xdr:colOff>0</xdr:colOff>
      <xdr:row>93</xdr:row>
      <xdr:rowOff>190500</xdr:rowOff>
    </xdr:to>
    <xdr:sp macro="" textlink="">
      <xdr:nvSpPr>
        <xdr:cNvPr id="1039" name="오른쪽 화살표 103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100</xdr:row>
      <xdr:rowOff>38100</xdr:rowOff>
    </xdr:from>
    <xdr:to>
      <xdr:col>3</xdr:col>
      <xdr:colOff>304800</xdr:colOff>
      <xdr:row>100</xdr:row>
      <xdr:rowOff>165100</xdr:rowOff>
    </xdr:to>
    <xdr:sp macro="" textlink="">
      <xdr:nvSpPr>
        <xdr:cNvPr id="1040" name="왼쪽 화살표 103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103</xdr:row>
      <xdr:rowOff>0</xdr:rowOff>
    </xdr:from>
    <xdr:to>
      <xdr:col>3</xdr:col>
      <xdr:colOff>304800</xdr:colOff>
      <xdr:row>105</xdr:row>
      <xdr:rowOff>6350</xdr:rowOff>
    </xdr:to>
    <xdr:sp macro="" textlink="">
      <xdr:nvSpPr>
        <xdr:cNvPr id="1041" name="오른쪽으로 구부러진 화살표 104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105</xdr:row>
      <xdr:rowOff>0</xdr:rowOff>
    </xdr:from>
    <xdr:to>
      <xdr:col>3</xdr:col>
      <xdr:colOff>304800</xdr:colOff>
      <xdr:row>107</xdr:row>
      <xdr:rowOff>6350</xdr:rowOff>
    </xdr:to>
    <xdr:sp macro="" textlink="">
      <xdr:nvSpPr>
        <xdr:cNvPr id="1042" name="오른쪽으로 구부러진 화살표 104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107</xdr:row>
      <xdr:rowOff>0</xdr:rowOff>
    </xdr:from>
    <xdr:to>
      <xdr:col>3</xdr:col>
      <xdr:colOff>304800</xdr:colOff>
      <xdr:row>109</xdr:row>
      <xdr:rowOff>6350</xdr:rowOff>
    </xdr:to>
    <xdr:sp macro="" textlink="">
      <xdr:nvSpPr>
        <xdr:cNvPr id="1043" name="오른쪽으로 구부러진 화살표 104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103</xdr:row>
      <xdr:rowOff>0</xdr:rowOff>
    </xdr:from>
    <xdr:to>
      <xdr:col>3</xdr:col>
      <xdr:colOff>304800</xdr:colOff>
      <xdr:row>105</xdr:row>
      <xdr:rowOff>6350</xdr:rowOff>
    </xdr:to>
    <xdr:sp macro="" textlink="">
      <xdr:nvSpPr>
        <xdr:cNvPr id="1044" name="오른쪽으로 구부러진 화살표 104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105</xdr:row>
      <xdr:rowOff>0</xdr:rowOff>
    </xdr:from>
    <xdr:to>
      <xdr:col>3</xdr:col>
      <xdr:colOff>304800</xdr:colOff>
      <xdr:row>107</xdr:row>
      <xdr:rowOff>6350</xdr:rowOff>
    </xdr:to>
    <xdr:sp macro="" textlink="">
      <xdr:nvSpPr>
        <xdr:cNvPr id="1045" name="오른쪽으로 구부러진 화살표 104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107</xdr:row>
      <xdr:rowOff>0</xdr:rowOff>
    </xdr:from>
    <xdr:to>
      <xdr:col>3</xdr:col>
      <xdr:colOff>304800</xdr:colOff>
      <xdr:row>109</xdr:row>
      <xdr:rowOff>6350</xdr:rowOff>
    </xdr:to>
    <xdr:sp macro="" textlink="">
      <xdr:nvSpPr>
        <xdr:cNvPr id="1046" name="오른쪽으로 구부러진 화살표 104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102</xdr:row>
      <xdr:rowOff>76200</xdr:rowOff>
    </xdr:from>
    <xdr:to>
      <xdr:col>4</xdr:col>
      <xdr:colOff>0</xdr:colOff>
      <xdr:row>102</xdr:row>
      <xdr:rowOff>190500</xdr:rowOff>
    </xdr:to>
    <xdr:sp macro="" textlink="">
      <xdr:nvSpPr>
        <xdr:cNvPr id="1047" name="오른쪽 화살표 104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109</xdr:row>
      <xdr:rowOff>38100</xdr:rowOff>
    </xdr:from>
    <xdr:to>
      <xdr:col>3</xdr:col>
      <xdr:colOff>304800</xdr:colOff>
      <xdr:row>109</xdr:row>
      <xdr:rowOff>165100</xdr:rowOff>
    </xdr:to>
    <xdr:sp macro="" textlink="">
      <xdr:nvSpPr>
        <xdr:cNvPr id="1048" name="왼쪽 화살표 104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112</xdr:row>
      <xdr:rowOff>0</xdr:rowOff>
    </xdr:from>
    <xdr:to>
      <xdr:col>3</xdr:col>
      <xdr:colOff>304800</xdr:colOff>
      <xdr:row>114</xdr:row>
      <xdr:rowOff>6350</xdr:rowOff>
    </xdr:to>
    <xdr:sp macro="" textlink="">
      <xdr:nvSpPr>
        <xdr:cNvPr id="1049" name="오른쪽으로 구부러진 화살표 104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114</xdr:row>
      <xdr:rowOff>0</xdr:rowOff>
    </xdr:from>
    <xdr:to>
      <xdr:col>3</xdr:col>
      <xdr:colOff>304800</xdr:colOff>
      <xdr:row>116</xdr:row>
      <xdr:rowOff>6350</xdr:rowOff>
    </xdr:to>
    <xdr:sp macro="" textlink="">
      <xdr:nvSpPr>
        <xdr:cNvPr id="1050" name="오른쪽으로 구부러진 화살표 104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116</xdr:row>
      <xdr:rowOff>0</xdr:rowOff>
    </xdr:from>
    <xdr:to>
      <xdr:col>3</xdr:col>
      <xdr:colOff>304800</xdr:colOff>
      <xdr:row>118</xdr:row>
      <xdr:rowOff>6350</xdr:rowOff>
    </xdr:to>
    <xdr:sp macro="" textlink="">
      <xdr:nvSpPr>
        <xdr:cNvPr id="1051" name="오른쪽으로 구부러진 화살표 105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112</xdr:row>
      <xdr:rowOff>0</xdr:rowOff>
    </xdr:from>
    <xdr:to>
      <xdr:col>3</xdr:col>
      <xdr:colOff>304800</xdr:colOff>
      <xdr:row>114</xdr:row>
      <xdr:rowOff>6350</xdr:rowOff>
    </xdr:to>
    <xdr:sp macro="" textlink="">
      <xdr:nvSpPr>
        <xdr:cNvPr id="1052" name="오른쪽으로 구부러진 화살표 105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114</xdr:row>
      <xdr:rowOff>0</xdr:rowOff>
    </xdr:from>
    <xdr:to>
      <xdr:col>3</xdr:col>
      <xdr:colOff>304800</xdr:colOff>
      <xdr:row>116</xdr:row>
      <xdr:rowOff>6350</xdr:rowOff>
    </xdr:to>
    <xdr:sp macro="" textlink="">
      <xdr:nvSpPr>
        <xdr:cNvPr id="1053" name="오른쪽으로 구부러진 화살표 105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116</xdr:row>
      <xdr:rowOff>0</xdr:rowOff>
    </xdr:from>
    <xdr:to>
      <xdr:col>3</xdr:col>
      <xdr:colOff>304800</xdr:colOff>
      <xdr:row>118</xdr:row>
      <xdr:rowOff>6350</xdr:rowOff>
    </xdr:to>
    <xdr:sp macro="" textlink="">
      <xdr:nvSpPr>
        <xdr:cNvPr id="1054" name="오른쪽으로 구부러진 화살표 105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111</xdr:row>
      <xdr:rowOff>76200</xdr:rowOff>
    </xdr:from>
    <xdr:to>
      <xdr:col>4</xdr:col>
      <xdr:colOff>0</xdr:colOff>
      <xdr:row>111</xdr:row>
      <xdr:rowOff>190500</xdr:rowOff>
    </xdr:to>
    <xdr:sp macro="" textlink="">
      <xdr:nvSpPr>
        <xdr:cNvPr id="1055" name="오른쪽 화살표 105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118</xdr:row>
      <xdr:rowOff>38100</xdr:rowOff>
    </xdr:from>
    <xdr:to>
      <xdr:col>3</xdr:col>
      <xdr:colOff>304800</xdr:colOff>
      <xdr:row>118</xdr:row>
      <xdr:rowOff>165100</xdr:rowOff>
    </xdr:to>
    <xdr:sp macro="" textlink="">
      <xdr:nvSpPr>
        <xdr:cNvPr id="1056" name="왼쪽 화살표 105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121</xdr:row>
      <xdr:rowOff>0</xdr:rowOff>
    </xdr:from>
    <xdr:to>
      <xdr:col>3</xdr:col>
      <xdr:colOff>304800</xdr:colOff>
      <xdr:row>123</xdr:row>
      <xdr:rowOff>6350</xdr:rowOff>
    </xdr:to>
    <xdr:sp macro="" textlink="">
      <xdr:nvSpPr>
        <xdr:cNvPr id="1057" name="오른쪽으로 구부러진 화살표 105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123</xdr:row>
      <xdr:rowOff>0</xdr:rowOff>
    </xdr:from>
    <xdr:to>
      <xdr:col>3</xdr:col>
      <xdr:colOff>304800</xdr:colOff>
      <xdr:row>125</xdr:row>
      <xdr:rowOff>6350</xdr:rowOff>
    </xdr:to>
    <xdr:sp macro="" textlink="">
      <xdr:nvSpPr>
        <xdr:cNvPr id="1058" name="오른쪽으로 구부러진 화살표 105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125</xdr:row>
      <xdr:rowOff>0</xdr:rowOff>
    </xdr:from>
    <xdr:to>
      <xdr:col>3</xdr:col>
      <xdr:colOff>304800</xdr:colOff>
      <xdr:row>127</xdr:row>
      <xdr:rowOff>6350</xdr:rowOff>
    </xdr:to>
    <xdr:sp macro="" textlink="">
      <xdr:nvSpPr>
        <xdr:cNvPr id="1059" name="오른쪽으로 구부러진 화살표 105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121</xdr:row>
      <xdr:rowOff>0</xdr:rowOff>
    </xdr:from>
    <xdr:to>
      <xdr:col>3</xdr:col>
      <xdr:colOff>304800</xdr:colOff>
      <xdr:row>123</xdr:row>
      <xdr:rowOff>6350</xdr:rowOff>
    </xdr:to>
    <xdr:sp macro="" textlink="">
      <xdr:nvSpPr>
        <xdr:cNvPr id="1060" name="오른쪽으로 구부러진 화살표 105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123</xdr:row>
      <xdr:rowOff>0</xdr:rowOff>
    </xdr:from>
    <xdr:to>
      <xdr:col>3</xdr:col>
      <xdr:colOff>304800</xdr:colOff>
      <xdr:row>125</xdr:row>
      <xdr:rowOff>6350</xdr:rowOff>
    </xdr:to>
    <xdr:sp macro="" textlink="">
      <xdr:nvSpPr>
        <xdr:cNvPr id="1061" name="오른쪽으로 구부러진 화살표 106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125</xdr:row>
      <xdr:rowOff>0</xdr:rowOff>
    </xdr:from>
    <xdr:to>
      <xdr:col>3</xdr:col>
      <xdr:colOff>304800</xdr:colOff>
      <xdr:row>127</xdr:row>
      <xdr:rowOff>6350</xdr:rowOff>
    </xdr:to>
    <xdr:sp macro="" textlink="">
      <xdr:nvSpPr>
        <xdr:cNvPr id="1062" name="오른쪽으로 구부러진 화살표 106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120</xdr:row>
      <xdr:rowOff>76200</xdr:rowOff>
    </xdr:from>
    <xdr:to>
      <xdr:col>4</xdr:col>
      <xdr:colOff>0</xdr:colOff>
      <xdr:row>120</xdr:row>
      <xdr:rowOff>190500</xdr:rowOff>
    </xdr:to>
    <xdr:sp macro="" textlink="">
      <xdr:nvSpPr>
        <xdr:cNvPr id="1063" name="오른쪽 화살표 106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127</xdr:row>
      <xdr:rowOff>38100</xdr:rowOff>
    </xdr:from>
    <xdr:to>
      <xdr:col>3</xdr:col>
      <xdr:colOff>304800</xdr:colOff>
      <xdr:row>127</xdr:row>
      <xdr:rowOff>165100</xdr:rowOff>
    </xdr:to>
    <xdr:sp macro="" textlink="">
      <xdr:nvSpPr>
        <xdr:cNvPr id="1064" name="왼쪽 화살표 106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130</xdr:row>
      <xdr:rowOff>0</xdr:rowOff>
    </xdr:from>
    <xdr:to>
      <xdr:col>3</xdr:col>
      <xdr:colOff>304800</xdr:colOff>
      <xdr:row>132</xdr:row>
      <xdr:rowOff>6350</xdr:rowOff>
    </xdr:to>
    <xdr:sp macro="" textlink="">
      <xdr:nvSpPr>
        <xdr:cNvPr id="1065" name="오른쪽으로 구부러진 화살표 106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3</xdr:col>
      <xdr:colOff>304800</xdr:colOff>
      <xdr:row>134</xdr:row>
      <xdr:rowOff>6350</xdr:rowOff>
    </xdr:to>
    <xdr:sp macro="" textlink="">
      <xdr:nvSpPr>
        <xdr:cNvPr id="1066" name="오른쪽으로 구부러진 화살표 106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134</xdr:row>
      <xdr:rowOff>0</xdr:rowOff>
    </xdr:from>
    <xdr:to>
      <xdr:col>3</xdr:col>
      <xdr:colOff>304800</xdr:colOff>
      <xdr:row>136</xdr:row>
      <xdr:rowOff>6350</xdr:rowOff>
    </xdr:to>
    <xdr:sp macro="" textlink="">
      <xdr:nvSpPr>
        <xdr:cNvPr id="1067" name="오른쪽으로 구부러진 화살표 106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130</xdr:row>
      <xdr:rowOff>0</xdr:rowOff>
    </xdr:from>
    <xdr:to>
      <xdr:col>3</xdr:col>
      <xdr:colOff>304800</xdr:colOff>
      <xdr:row>132</xdr:row>
      <xdr:rowOff>6350</xdr:rowOff>
    </xdr:to>
    <xdr:sp macro="" textlink="">
      <xdr:nvSpPr>
        <xdr:cNvPr id="1068" name="오른쪽으로 구부러진 화살표 106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132</xdr:row>
      <xdr:rowOff>0</xdr:rowOff>
    </xdr:from>
    <xdr:to>
      <xdr:col>3</xdr:col>
      <xdr:colOff>304800</xdr:colOff>
      <xdr:row>134</xdr:row>
      <xdr:rowOff>6350</xdr:rowOff>
    </xdr:to>
    <xdr:sp macro="" textlink="">
      <xdr:nvSpPr>
        <xdr:cNvPr id="1069" name="오른쪽으로 구부러진 화살표 106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134</xdr:row>
      <xdr:rowOff>0</xdr:rowOff>
    </xdr:from>
    <xdr:to>
      <xdr:col>3</xdr:col>
      <xdr:colOff>304800</xdr:colOff>
      <xdr:row>136</xdr:row>
      <xdr:rowOff>6350</xdr:rowOff>
    </xdr:to>
    <xdr:sp macro="" textlink="">
      <xdr:nvSpPr>
        <xdr:cNvPr id="1070" name="오른쪽으로 구부러진 화살표 106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129</xdr:row>
      <xdr:rowOff>76200</xdr:rowOff>
    </xdr:from>
    <xdr:to>
      <xdr:col>4</xdr:col>
      <xdr:colOff>0</xdr:colOff>
      <xdr:row>129</xdr:row>
      <xdr:rowOff>190500</xdr:rowOff>
    </xdr:to>
    <xdr:sp macro="" textlink="">
      <xdr:nvSpPr>
        <xdr:cNvPr id="1071" name="오른쪽 화살표 107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136</xdr:row>
      <xdr:rowOff>38100</xdr:rowOff>
    </xdr:from>
    <xdr:to>
      <xdr:col>3</xdr:col>
      <xdr:colOff>304800</xdr:colOff>
      <xdr:row>136</xdr:row>
      <xdr:rowOff>165100</xdr:rowOff>
    </xdr:to>
    <xdr:sp macro="" textlink="">
      <xdr:nvSpPr>
        <xdr:cNvPr id="1072" name="왼쪽 화살표 107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139</xdr:row>
      <xdr:rowOff>0</xdr:rowOff>
    </xdr:from>
    <xdr:to>
      <xdr:col>3</xdr:col>
      <xdr:colOff>304800</xdr:colOff>
      <xdr:row>141</xdr:row>
      <xdr:rowOff>6350</xdr:rowOff>
    </xdr:to>
    <xdr:sp macro="" textlink="">
      <xdr:nvSpPr>
        <xdr:cNvPr id="1073" name="오른쪽으로 구부러진 화살표 107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141</xdr:row>
      <xdr:rowOff>0</xdr:rowOff>
    </xdr:from>
    <xdr:to>
      <xdr:col>3</xdr:col>
      <xdr:colOff>304800</xdr:colOff>
      <xdr:row>143</xdr:row>
      <xdr:rowOff>6350</xdr:rowOff>
    </xdr:to>
    <xdr:sp macro="" textlink="">
      <xdr:nvSpPr>
        <xdr:cNvPr id="1074" name="오른쪽으로 구부러진 화살표 107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143</xdr:row>
      <xdr:rowOff>0</xdr:rowOff>
    </xdr:from>
    <xdr:to>
      <xdr:col>3</xdr:col>
      <xdr:colOff>304800</xdr:colOff>
      <xdr:row>145</xdr:row>
      <xdr:rowOff>6350</xdr:rowOff>
    </xdr:to>
    <xdr:sp macro="" textlink="">
      <xdr:nvSpPr>
        <xdr:cNvPr id="1075" name="오른쪽으로 구부러진 화살표 107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139</xdr:row>
      <xdr:rowOff>0</xdr:rowOff>
    </xdr:from>
    <xdr:to>
      <xdr:col>3</xdr:col>
      <xdr:colOff>304800</xdr:colOff>
      <xdr:row>141</xdr:row>
      <xdr:rowOff>6350</xdr:rowOff>
    </xdr:to>
    <xdr:sp macro="" textlink="">
      <xdr:nvSpPr>
        <xdr:cNvPr id="1076" name="오른쪽으로 구부러진 화살표 107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141</xdr:row>
      <xdr:rowOff>0</xdr:rowOff>
    </xdr:from>
    <xdr:to>
      <xdr:col>3</xdr:col>
      <xdr:colOff>304800</xdr:colOff>
      <xdr:row>143</xdr:row>
      <xdr:rowOff>6350</xdr:rowOff>
    </xdr:to>
    <xdr:sp macro="" textlink="">
      <xdr:nvSpPr>
        <xdr:cNvPr id="1077" name="오른쪽으로 구부러진 화살표 107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143</xdr:row>
      <xdr:rowOff>0</xdr:rowOff>
    </xdr:from>
    <xdr:to>
      <xdr:col>3</xdr:col>
      <xdr:colOff>304800</xdr:colOff>
      <xdr:row>145</xdr:row>
      <xdr:rowOff>6350</xdr:rowOff>
    </xdr:to>
    <xdr:sp macro="" textlink="">
      <xdr:nvSpPr>
        <xdr:cNvPr id="1078" name="오른쪽으로 구부러진 화살표 107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138</xdr:row>
      <xdr:rowOff>76200</xdr:rowOff>
    </xdr:from>
    <xdr:to>
      <xdr:col>4</xdr:col>
      <xdr:colOff>0</xdr:colOff>
      <xdr:row>138</xdr:row>
      <xdr:rowOff>190500</xdr:rowOff>
    </xdr:to>
    <xdr:sp macro="" textlink="">
      <xdr:nvSpPr>
        <xdr:cNvPr id="1079" name="오른쪽 화살표 107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145</xdr:row>
      <xdr:rowOff>38100</xdr:rowOff>
    </xdr:from>
    <xdr:to>
      <xdr:col>3</xdr:col>
      <xdr:colOff>304800</xdr:colOff>
      <xdr:row>145</xdr:row>
      <xdr:rowOff>165100</xdr:rowOff>
    </xdr:to>
    <xdr:sp macro="" textlink="">
      <xdr:nvSpPr>
        <xdr:cNvPr id="1080" name="왼쪽 화살표 107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148</xdr:row>
      <xdr:rowOff>0</xdr:rowOff>
    </xdr:from>
    <xdr:to>
      <xdr:col>3</xdr:col>
      <xdr:colOff>304800</xdr:colOff>
      <xdr:row>150</xdr:row>
      <xdr:rowOff>6350</xdr:rowOff>
    </xdr:to>
    <xdr:sp macro="" textlink="">
      <xdr:nvSpPr>
        <xdr:cNvPr id="1081" name="오른쪽으로 구부러진 화살표 108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150</xdr:row>
      <xdr:rowOff>0</xdr:rowOff>
    </xdr:from>
    <xdr:to>
      <xdr:col>3</xdr:col>
      <xdr:colOff>304800</xdr:colOff>
      <xdr:row>152</xdr:row>
      <xdr:rowOff>6350</xdr:rowOff>
    </xdr:to>
    <xdr:sp macro="" textlink="">
      <xdr:nvSpPr>
        <xdr:cNvPr id="1082" name="오른쪽으로 구부러진 화살표 108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152</xdr:row>
      <xdr:rowOff>0</xdr:rowOff>
    </xdr:from>
    <xdr:to>
      <xdr:col>3</xdr:col>
      <xdr:colOff>304800</xdr:colOff>
      <xdr:row>154</xdr:row>
      <xdr:rowOff>6350</xdr:rowOff>
    </xdr:to>
    <xdr:sp macro="" textlink="">
      <xdr:nvSpPr>
        <xdr:cNvPr id="1083" name="오른쪽으로 구부러진 화살표 108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148</xdr:row>
      <xdr:rowOff>0</xdr:rowOff>
    </xdr:from>
    <xdr:to>
      <xdr:col>3</xdr:col>
      <xdr:colOff>304800</xdr:colOff>
      <xdr:row>150</xdr:row>
      <xdr:rowOff>6350</xdr:rowOff>
    </xdr:to>
    <xdr:sp macro="" textlink="">
      <xdr:nvSpPr>
        <xdr:cNvPr id="1084" name="오른쪽으로 구부러진 화살표 108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150</xdr:row>
      <xdr:rowOff>0</xdr:rowOff>
    </xdr:from>
    <xdr:to>
      <xdr:col>3</xdr:col>
      <xdr:colOff>304800</xdr:colOff>
      <xdr:row>152</xdr:row>
      <xdr:rowOff>6350</xdr:rowOff>
    </xdr:to>
    <xdr:sp macro="" textlink="">
      <xdr:nvSpPr>
        <xdr:cNvPr id="1085" name="오른쪽으로 구부러진 화살표 108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152</xdr:row>
      <xdr:rowOff>0</xdr:rowOff>
    </xdr:from>
    <xdr:to>
      <xdr:col>3</xdr:col>
      <xdr:colOff>304800</xdr:colOff>
      <xdr:row>154</xdr:row>
      <xdr:rowOff>6350</xdr:rowOff>
    </xdr:to>
    <xdr:sp macro="" textlink="">
      <xdr:nvSpPr>
        <xdr:cNvPr id="1086" name="오른쪽으로 구부러진 화살표 108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147</xdr:row>
      <xdr:rowOff>76200</xdr:rowOff>
    </xdr:from>
    <xdr:to>
      <xdr:col>4</xdr:col>
      <xdr:colOff>0</xdr:colOff>
      <xdr:row>147</xdr:row>
      <xdr:rowOff>190500</xdr:rowOff>
    </xdr:to>
    <xdr:sp macro="" textlink="">
      <xdr:nvSpPr>
        <xdr:cNvPr id="1087" name="오른쪽 화살표 108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154</xdr:row>
      <xdr:rowOff>38100</xdr:rowOff>
    </xdr:from>
    <xdr:to>
      <xdr:col>3</xdr:col>
      <xdr:colOff>304800</xdr:colOff>
      <xdr:row>154</xdr:row>
      <xdr:rowOff>165100</xdr:rowOff>
    </xdr:to>
    <xdr:sp macro="" textlink="">
      <xdr:nvSpPr>
        <xdr:cNvPr id="1088" name="왼쪽 화살표 108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157</xdr:row>
      <xdr:rowOff>0</xdr:rowOff>
    </xdr:from>
    <xdr:to>
      <xdr:col>3</xdr:col>
      <xdr:colOff>304800</xdr:colOff>
      <xdr:row>159</xdr:row>
      <xdr:rowOff>6350</xdr:rowOff>
    </xdr:to>
    <xdr:sp macro="" textlink="">
      <xdr:nvSpPr>
        <xdr:cNvPr id="1089" name="오른쪽으로 구부러진 화살표 108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159</xdr:row>
      <xdr:rowOff>0</xdr:rowOff>
    </xdr:from>
    <xdr:to>
      <xdr:col>3</xdr:col>
      <xdr:colOff>304800</xdr:colOff>
      <xdr:row>161</xdr:row>
      <xdr:rowOff>6350</xdr:rowOff>
    </xdr:to>
    <xdr:sp macro="" textlink="">
      <xdr:nvSpPr>
        <xdr:cNvPr id="1090" name="오른쪽으로 구부러진 화살표 108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161</xdr:row>
      <xdr:rowOff>0</xdr:rowOff>
    </xdr:from>
    <xdr:to>
      <xdr:col>3</xdr:col>
      <xdr:colOff>304800</xdr:colOff>
      <xdr:row>163</xdr:row>
      <xdr:rowOff>6350</xdr:rowOff>
    </xdr:to>
    <xdr:sp macro="" textlink="">
      <xdr:nvSpPr>
        <xdr:cNvPr id="1091" name="오른쪽으로 구부러진 화살표 109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157</xdr:row>
      <xdr:rowOff>0</xdr:rowOff>
    </xdr:from>
    <xdr:to>
      <xdr:col>3</xdr:col>
      <xdr:colOff>304800</xdr:colOff>
      <xdr:row>159</xdr:row>
      <xdr:rowOff>6350</xdr:rowOff>
    </xdr:to>
    <xdr:sp macro="" textlink="">
      <xdr:nvSpPr>
        <xdr:cNvPr id="1092" name="오른쪽으로 구부러진 화살표 109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159</xdr:row>
      <xdr:rowOff>0</xdr:rowOff>
    </xdr:from>
    <xdr:to>
      <xdr:col>3</xdr:col>
      <xdr:colOff>304800</xdr:colOff>
      <xdr:row>161</xdr:row>
      <xdr:rowOff>6350</xdr:rowOff>
    </xdr:to>
    <xdr:sp macro="" textlink="">
      <xdr:nvSpPr>
        <xdr:cNvPr id="1093" name="오른쪽으로 구부러진 화살표 109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161</xdr:row>
      <xdr:rowOff>0</xdr:rowOff>
    </xdr:from>
    <xdr:to>
      <xdr:col>3</xdr:col>
      <xdr:colOff>304800</xdr:colOff>
      <xdr:row>163</xdr:row>
      <xdr:rowOff>6350</xdr:rowOff>
    </xdr:to>
    <xdr:sp macro="" textlink="">
      <xdr:nvSpPr>
        <xdr:cNvPr id="1094" name="오른쪽으로 구부러진 화살표 109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156</xdr:row>
      <xdr:rowOff>76200</xdr:rowOff>
    </xdr:from>
    <xdr:to>
      <xdr:col>4</xdr:col>
      <xdr:colOff>0</xdr:colOff>
      <xdr:row>156</xdr:row>
      <xdr:rowOff>190500</xdr:rowOff>
    </xdr:to>
    <xdr:sp macro="" textlink="">
      <xdr:nvSpPr>
        <xdr:cNvPr id="1095" name="오른쪽 화살표 109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163</xdr:row>
      <xdr:rowOff>38100</xdr:rowOff>
    </xdr:from>
    <xdr:to>
      <xdr:col>3</xdr:col>
      <xdr:colOff>304800</xdr:colOff>
      <xdr:row>163</xdr:row>
      <xdr:rowOff>165100</xdr:rowOff>
    </xdr:to>
    <xdr:sp macro="" textlink="">
      <xdr:nvSpPr>
        <xdr:cNvPr id="1096" name="왼쪽 화살표 109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166</xdr:row>
      <xdr:rowOff>0</xdr:rowOff>
    </xdr:from>
    <xdr:to>
      <xdr:col>3</xdr:col>
      <xdr:colOff>304800</xdr:colOff>
      <xdr:row>168</xdr:row>
      <xdr:rowOff>6350</xdr:rowOff>
    </xdr:to>
    <xdr:sp macro="" textlink="">
      <xdr:nvSpPr>
        <xdr:cNvPr id="1097" name="오른쪽으로 구부러진 화살표 109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168</xdr:row>
      <xdr:rowOff>0</xdr:rowOff>
    </xdr:from>
    <xdr:to>
      <xdr:col>3</xdr:col>
      <xdr:colOff>304800</xdr:colOff>
      <xdr:row>170</xdr:row>
      <xdr:rowOff>6350</xdr:rowOff>
    </xdr:to>
    <xdr:sp macro="" textlink="">
      <xdr:nvSpPr>
        <xdr:cNvPr id="1098" name="오른쪽으로 구부러진 화살표 109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170</xdr:row>
      <xdr:rowOff>0</xdr:rowOff>
    </xdr:from>
    <xdr:to>
      <xdr:col>3</xdr:col>
      <xdr:colOff>304800</xdr:colOff>
      <xdr:row>172</xdr:row>
      <xdr:rowOff>6350</xdr:rowOff>
    </xdr:to>
    <xdr:sp macro="" textlink="">
      <xdr:nvSpPr>
        <xdr:cNvPr id="1099" name="오른쪽으로 구부러진 화살표 109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166</xdr:row>
      <xdr:rowOff>0</xdr:rowOff>
    </xdr:from>
    <xdr:to>
      <xdr:col>3</xdr:col>
      <xdr:colOff>304800</xdr:colOff>
      <xdr:row>168</xdr:row>
      <xdr:rowOff>6350</xdr:rowOff>
    </xdr:to>
    <xdr:sp macro="" textlink="">
      <xdr:nvSpPr>
        <xdr:cNvPr id="1100" name="오른쪽으로 구부러진 화살표 109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168</xdr:row>
      <xdr:rowOff>0</xdr:rowOff>
    </xdr:from>
    <xdr:to>
      <xdr:col>3</xdr:col>
      <xdr:colOff>304800</xdr:colOff>
      <xdr:row>170</xdr:row>
      <xdr:rowOff>6350</xdr:rowOff>
    </xdr:to>
    <xdr:sp macro="" textlink="">
      <xdr:nvSpPr>
        <xdr:cNvPr id="1101" name="오른쪽으로 구부러진 화살표 110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170</xdr:row>
      <xdr:rowOff>0</xdr:rowOff>
    </xdr:from>
    <xdr:to>
      <xdr:col>3</xdr:col>
      <xdr:colOff>304800</xdr:colOff>
      <xdr:row>172</xdr:row>
      <xdr:rowOff>6350</xdr:rowOff>
    </xdr:to>
    <xdr:sp macro="" textlink="">
      <xdr:nvSpPr>
        <xdr:cNvPr id="1102" name="오른쪽으로 구부러진 화살표 110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165</xdr:row>
      <xdr:rowOff>76200</xdr:rowOff>
    </xdr:from>
    <xdr:to>
      <xdr:col>4</xdr:col>
      <xdr:colOff>0</xdr:colOff>
      <xdr:row>165</xdr:row>
      <xdr:rowOff>190500</xdr:rowOff>
    </xdr:to>
    <xdr:sp macro="" textlink="">
      <xdr:nvSpPr>
        <xdr:cNvPr id="1103" name="오른쪽 화살표 110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172</xdr:row>
      <xdr:rowOff>38100</xdr:rowOff>
    </xdr:from>
    <xdr:to>
      <xdr:col>3</xdr:col>
      <xdr:colOff>304800</xdr:colOff>
      <xdr:row>172</xdr:row>
      <xdr:rowOff>165100</xdr:rowOff>
    </xdr:to>
    <xdr:sp macro="" textlink="">
      <xdr:nvSpPr>
        <xdr:cNvPr id="1104" name="왼쪽 화살표 110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175</xdr:row>
      <xdr:rowOff>0</xdr:rowOff>
    </xdr:from>
    <xdr:to>
      <xdr:col>3</xdr:col>
      <xdr:colOff>304800</xdr:colOff>
      <xdr:row>177</xdr:row>
      <xdr:rowOff>6350</xdr:rowOff>
    </xdr:to>
    <xdr:sp macro="" textlink="">
      <xdr:nvSpPr>
        <xdr:cNvPr id="1105" name="오른쪽으로 구부러진 화살표 110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177</xdr:row>
      <xdr:rowOff>0</xdr:rowOff>
    </xdr:from>
    <xdr:to>
      <xdr:col>3</xdr:col>
      <xdr:colOff>304800</xdr:colOff>
      <xdr:row>179</xdr:row>
      <xdr:rowOff>6350</xdr:rowOff>
    </xdr:to>
    <xdr:sp macro="" textlink="">
      <xdr:nvSpPr>
        <xdr:cNvPr id="1106" name="오른쪽으로 구부러진 화살표 110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179</xdr:row>
      <xdr:rowOff>0</xdr:rowOff>
    </xdr:from>
    <xdr:to>
      <xdr:col>3</xdr:col>
      <xdr:colOff>304800</xdr:colOff>
      <xdr:row>181</xdr:row>
      <xdr:rowOff>6350</xdr:rowOff>
    </xdr:to>
    <xdr:sp macro="" textlink="">
      <xdr:nvSpPr>
        <xdr:cNvPr id="1107" name="오른쪽으로 구부러진 화살표 110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175</xdr:row>
      <xdr:rowOff>0</xdr:rowOff>
    </xdr:from>
    <xdr:to>
      <xdr:col>3</xdr:col>
      <xdr:colOff>304800</xdr:colOff>
      <xdr:row>177</xdr:row>
      <xdr:rowOff>6350</xdr:rowOff>
    </xdr:to>
    <xdr:sp macro="" textlink="">
      <xdr:nvSpPr>
        <xdr:cNvPr id="1108" name="오른쪽으로 구부러진 화살표 110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177</xdr:row>
      <xdr:rowOff>0</xdr:rowOff>
    </xdr:from>
    <xdr:to>
      <xdr:col>3</xdr:col>
      <xdr:colOff>304800</xdr:colOff>
      <xdr:row>179</xdr:row>
      <xdr:rowOff>6350</xdr:rowOff>
    </xdr:to>
    <xdr:sp macro="" textlink="">
      <xdr:nvSpPr>
        <xdr:cNvPr id="1109" name="오른쪽으로 구부러진 화살표 110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179</xdr:row>
      <xdr:rowOff>0</xdr:rowOff>
    </xdr:from>
    <xdr:to>
      <xdr:col>3</xdr:col>
      <xdr:colOff>304800</xdr:colOff>
      <xdr:row>181</xdr:row>
      <xdr:rowOff>6350</xdr:rowOff>
    </xdr:to>
    <xdr:sp macro="" textlink="">
      <xdr:nvSpPr>
        <xdr:cNvPr id="1110" name="오른쪽으로 구부러진 화살표 110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174</xdr:row>
      <xdr:rowOff>76200</xdr:rowOff>
    </xdr:from>
    <xdr:to>
      <xdr:col>4</xdr:col>
      <xdr:colOff>0</xdr:colOff>
      <xdr:row>174</xdr:row>
      <xdr:rowOff>190500</xdr:rowOff>
    </xdr:to>
    <xdr:sp macro="" textlink="">
      <xdr:nvSpPr>
        <xdr:cNvPr id="1111" name="오른쪽 화살표 111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181</xdr:row>
      <xdr:rowOff>38100</xdr:rowOff>
    </xdr:from>
    <xdr:to>
      <xdr:col>3</xdr:col>
      <xdr:colOff>304800</xdr:colOff>
      <xdr:row>181</xdr:row>
      <xdr:rowOff>165100</xdr:rowOff>
    </xdr:to>
    <xdr:sp macro="" textlink="">
      <xdr:nvSpPr>
        <xdr:cNvPr id="1112" name="왼쪽 화살표 111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184</xdr:row>
      <xdr:rowOff>0</xdr:rowOff>
    </xdr:from>
    <xdr:to>
      <xdr:col>3</xdr:col>
      <xdr:colOff>304800</xdr:colOff>
      <xdr:row>186</xdr:row>
      <xdr:rowOff>6350</xdr:rowOff>
    </xdr:to>
    <xdr:sp macro="" textlink="">
      <xdr:nvSpPr>
        <xdr:cNvPr id="1113" name="오른쪽으로 구부러진 화살표 111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186</xdr:row>
      <xdr:rowOff>0</xdr:rowOff>
    </xdr:from>
    <xdr:to>
      <xdr:col>3</xdr:col>
      <xdr:colOff>304800</xdr:colOff>
      <xdr:row>188</xdr:row>
      <xdr:rowOff>6350</xdr:rowOff>
    </xdr:to>
    <xdr:sp macro="" textlink="">
      <xdr:nvSpPr>
        <xdr:cNvPr id="1114" name="오른쪽으로 구부러진 화살표 111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188</xdr:row>
      <xdr:rowOff>0</xdr:rowOff>
    </xdr:from>
    <xdr:to>
      <xdr:col>3</xdr:col>
      <xdr:colOff>304800</xdr:colOff>
      <xdr:row>190</xdr:row>
      <xdr:rowOff>6350</xdr:rowOff>
    </xdr:to>
    <xdr:sp macro="" textlink="">
      <xdr:nvSpPr>
        <xdr:cNvPr id="1115" name="오른쪽으로 구부러진 화살표 111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184</xdr:row>
      <xdr:rowOff>0</xdr:rowOff>
    </xdr:from>
    <xdr:to>
      <xdr:col>3</xdr:col>
      <xdr:colOff>304800</xdr:colOff>
      <xdr:row>186</xdr:row>
      <xdr:rowOff>6350</xdr:rowOff>
    </xdr:to>
    <xdr:sp macro="" textlink="">
      <xdr:nvSpPr>
        <xdr:cNvPr id="1116" name="오른쪽으로 구부러진 화살표 111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186</xdr:row>
      <xdr:rowOff>0</xdr:rowOff>
    </xdr:from>
    <xdr:to>
      <xdr:col>3</xdr:col>
      <xdr:colOff>304800</xdr:colOff>
      <xdr:row>188</xdr:row>
      <xdr:rowOff>6350</xdr:rowOff>
    </xdr:to>
    <xdr:sp macro="" textlink="">
      <xdr:nvSpPr>
        <xdr:cNvPr id="1117" name="오른쪽으로 구부러진 화살표 111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188</xdr:row>
      <xdr:rowOff>0</xdr:rowOff>
    </xdr:from>
    <xdr:to>
      <xdr:col>3</xdr:col>
      <xdr:colOff>304800</xdr:colOff>
      <xdr:row>190</xdr:row>
      <xdr:rowOff>6350</xdr:rowOff>
    </xdr:to>
    <xdr:sp macro="" textlink="">
      <xdr:nvSpPr>
        <xdr:cNvPr id="1118" name="오른쪽으로 구부러진 화살표 111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183</xdr:row>
      <xdr:rowOff>76200</xdr:rowOff>
    </xdr:from>
    <xdr:to>
      <xdr:col>4</xdr:col>
      <xdr:colOff>0</xdr:colOff>
      <xdr:row>183</xdr:row>
      <xdr:rowOff>190500</xdr:rowOff>
    </xdr:to>
    <xdr:sp macro="" textlink="">
      <xdr:nvSpPr>
        <xdr:cNvPr id="1119" name="오른쪽 화살표 111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190</xdr:row>
      <xdr:rowOff>38100</xdr:rowOff>
    </xdr:from>
    <xdr:to>
      <xdr:col>3</xdr:col>
      <xdr:colOff>304800</xdr:colOff>
      <xdr:row>190</xdr:row>
      <xdr:rowOff>165100</xdr:rowOff>
    </xdr:to>
    <xdr:sp macro="" textlink="">
      <xdr:nvSpPr>
        <xdr:cNvPr id="1120" name="왼쪽 화살표 111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193</xdr:row>
      <xdr:rowOff>0</xdr:rowOff>
    </xdr:from>
    <xdr:to>
      <xdr:col>3</xdr:col>
      <xdr:colOff>304800</xdr:colOff>
      <xdr:row>195</xdr:row>
      <xdr:rowOff>6350</xdr:rowOff>
    </xdr:to>
    <xdr:sp macro="" textlink="">
      <xdr:nvSpPr>
        <xdr:cNvPr id="1121" name="오른쪽으로 구부러진 화살표 112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195</xdr:row>
      <xdr:rowOff>0</xdr:rowOff>
    </xdr:from>
    <xdr:to>
      <xdr:col>3</xdr:col>
      <xdr:colOff>304800</xdr:colOff>
      <xdr:row>197</xdr:row>
      <xdr:rowOff>6350</xdr:rowOff>
    </xdr:to>
    <xdr:sp macro="" textlink="">
      <xdr:nvSpPr>
        <xdr:cNvPr id="1122" name="오른쪽으로 구부러진 화살표 112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197</xdr:row>
      <xdr:rowOff>0</xdr:rowOff>
    </xdr:from>
    <xdr:to>
      <xdr:col>3</xdr:col>
      <xdr:colOff>304800</xdr:colOff>
      <xdr:row>199</xdr:row>
      <xdr:rowOff>6350</xdr:rowOff>
    </xdr:to>
    <xdr:sp macro="" textlink="">
      <xdr:nvSpPr>
        <xdr:cNvPr id="1123" name="오른쪽으로 구부러진 화살표 112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193</xdr:row>
      <xdr:rowOff>0</xdr:rowOff>
    </xdr:from>
    <xdr:to>
      <xdr:col>3</xdr:col>
      <xdr:colOff>304800</xdr:colOff>
      <xdr:row>195</xdr:row>
      <xdr:rowOff>6350</xdr:rowOff>
    </xdr:to>
    <xdr:sp macro="" textlink="">
      <xdr:nvSpPr>
        <xdr:cNvPr id="1124" name="오른쪽으로 구부러진 화살표 112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195</xdr:row>
      <xdr:rowOff>0</xdr:rowOff>
    </xdr:from>
    <xdr:to>
      <xdr:col>3</xdr:col>
      <xdr:colOff>304800</xdr:colOff>
      <xdr:row>197</xdr:row>
      <xdr:rowOff>6350</xdr:rowOff>
    </xdr:to>
    <xdr:sp macro="" textlink="">
      <xdr:nvSpPr>
        <xdr:cNvPr id="1125" name="오른쪽으로 구부러진 화살표 112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197</xdr:row>
      <xdr:rowOff>0</xdr:rowOff>
    </xdr:from>
    <xdr:to>
      <xdr:col>3</xdr:col>
      <xdr:colOff>304800</xdr:colOff>
      <xdr:row>199</xdr:row>
      <xdr:rowOff>6350</xdr:rowOff>
    </xdr:to>
    <xdr:sp macro="" textlink="">
      <xdr:nvSpPr>
        <xdr:cNvPr id="1126" name="오른쪽으로 구부러진 화살표 112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192</xdr:row>
      <xdr:rowOff>76200</xdr:rowOff>
    </xdr:from>
    <xdr:to>
      <xdr:col>4</xdr:col>
      <xdr:colOff>0</xdr:colOff>
      <xdr:row>192</xdr:row>
      <xdr:rowOff>190500</xdr:rowOff>
    </xdr:to>
    <xdr:sp macro="" textlink="">
      <xdr:nvSpPr>
        <xdr:cNvPr id="1127" name="오른쪽 화살표 112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199</xdr:row>
      <xdr:rowOff>38100</xdr:rowOff>
    </xdr:from>
    <xdr:to>
      <xdr:col>3</xdr:col>
      <xdr:colOff>304800</xdr:colOff>
      <xdr:row>199</xdr:row>
      <xdr:rowOff>165100</xdr:rowOff>
    </xdr:to>
    <xdr:sp macro="" textlink="">
      <xdr:nvSpPr>
        <xdr:cNvPr id="1128" name="왼쪽 화살표 112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202</xdr:row>
      <xdr:rowOff>0</xdr:rowOff>
    </xdr:from>
    <xdr:to>
      <xdr:col>3</xdr:col>
      <xdr:colOff>304800</xdr:colOff>
      <xdr:row>204</xdr:row>
      <xdr:rowOff>6350</xdr:rowOff>
    </xdr:to>
    <xdr:sp macro="" textlink="">
      <xdr:nvSpPr>
        <xdr:cNvPr id="1129" name="오른쪽으로 구부러진 화살표 112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204</xdr:row>
      <xdr:rowOff>0</xdr:rowOff>
    </xdr:from>
    <xdr:to>
      <xdr:col>3</xdr:col>
      <xdr:colOff>304800</xdr:colOff>
      <xdr:row>206</xdr:row>
      <xdr:rowOff>6350</xdr:rowOff>
    </xdr:to>
    <xdr:sp macro="" textlink="">
      <xdr:nvSpPr>
        <xdr:cNvPr id="1130" name="오른쪽으로 구부러진 화살표 112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206</xdr:row>
      <xdr:rowOff>0</xdr:rowOff>
    </xdr:from>
    <xdr:to>
      <xdr:col>3</xdr:col>
      <xdr:colOff>304800</xdr:colOff>
      <xdr:row>208</xdr:row>
      <xdr:rowOff>6350</xdr:rowOff>
    </xdr:to>
    <xdr:sp macro="" textlink="">
      <xdr:nvSpPr>
        <xdr:cNvPr id="1131" name="오른쪽으로 구부러진 화살표 113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202</xdr:row>
      <xdr:rowOff>0</xdr:rowOff>
    </xdr:from>
    <xdr:to>
      <xdr:col>3</xdr:col>
      <xdr:colOff>304800</xdr:colOff>
      <xdr:row>204</xdr:row>
      <xdr:rowOff>6350</xdr:rowOff>
    </xdr:to>
    <xdr:sp macro="" textlink="">
      <xdr:nvSpPr>
        <xdr:cNvPr id="1132" name="오른쪽으로 구부러진 화살표 113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204</xdr:row>
      <xdr:rowOff>0</xdr:rowOff>
    </xdr:from>
    <xdr:to>
      <xdr:col>3</xdr:col>
      <xdr:colOff>304800</xdr:colOff>
      <xdr:row>206</xdr:row>
      <xdr:rowOff>6350</xdr:rowOff>
    </xdr:to>
    <xdr:sp macro="" textlink="">
      <xdr:nvSpPr>
        <xdr:cNvPr id="1133" name="오른쪽으로 구부러진 화살표 113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206</xdr:row>
      <xdr:rowOff>0</xdr:rowOff>
    </xdr:from>
    <xdr:to>
      <xdr:col>3</xdr:col>
      <xdr:colOff>304800</xdr:colOff>
      <xdr:row>208</xdr:row>
      <xdr:rowOff>6350</xdr:rowOff>
    </xdr:to>
    <xdr:sp macro="" textlink="">
      <xdr:nvSpPr>
        <xdr:cNvPr id="1134" name="오른쪽으로 구부러진 화살표 113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201</xdr:row>
      <xdr:rowOff>76200</xdr:rowOff>
    </xdr:from>
    <xdr:to>
      <xdr:col>4</xdr:col>
      <xdr:colOff>0</xdr:colOff>
      <xdr:row>201</xdr:row>
      <xdr:rowOff>190500</xdr:rowOff>
    </xdr:to>
    <xdr:sp macro="" textlink="">
      <xdr:nvSpPr>
        <xdr:cNvPr id="1135" name="오른쪽 화살표 113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208</xdr:row>
      <xdr:rowOff>38100</xdr:rowOff>
    </xdr:from>
    <xdr:to>
      <xdr:col>3</xdr:col>
      <xdr:colOff>304800</xdr:colOff>
      <xdr:row>208</xdr:row>
      <xdr:rowOff>165100</xdr:rowOff>
    </xdr:to>
    <xdr:sp macro="" textlink="">
      <xdr:nvSpPr>
        <xdr:cNvPr id="1136" name="왼쪽 화살표 113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211</xdr:row>
      <xdr:rowOff>0</xdr:rowOff>
    </xdr:from>
    <xdr:to>
      <xdr:col>3</xdr:col>
      <xdr:colOff>304800</xdr:colOff>
      <xdr:row>213</xdr:row>
      <xdr:rowOff>6350</xdr:rowOff>
    </xdr:to>
    <xdr:sp macro="" textlink="">
      <xdr:nvSpPr>
        <xdr:cNvPr id="1137" name="오른쪽으로 구부러진 화살표 113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213</xdr:row>
      <xdr:rowOff>0</xdr:rowOff>
    </xdr:from>
    <xdr:to>
      <xdr:col>3</xdr:col>
      <xdr:colOff>304800</xdr:colOff>
      <xdr:row>215</xdr:row>
      <xdr:rowOff>6350</xdr:rowOff>
    </xdr:to>
    <xdr:sp macro="" textlink="">
      <xdr:nvSpPr>
        <xdr:cNvPr id="1138" name="오른쪽으로 구부러진 화살표 113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215</xdr:row>
      <xdr:rowOff>0</xdr:rowOff>
    </xdr:from>
    <xdr:to>
      <xdr:col>3</xdr:col>
      <xdr:colOff>304800</xdr:colOff>
      <xdr:row>217</xdr:row>
      <xdr:rowOff>6350</xdr:rowOff>
    </xdr:to>
    <xdr:sp macro="" textlink="">
      <xdr:nvSpPr>
        <xdr:cNvPr id="1139" name="오른쪽으로 구부러진 화살표 113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211</xdr:row>
      <xdr:rowOff>0</xdr:rowOff>
    </xdr:from>
    <xdr:to>
      <xdr:col>3</xdr:col>
      <xdr:colOff>304800</xdr:colOff>
      <xdr:row>213</xdr:row>
      <xdr:rowOff>6350</xdr:rowOff>
    </xdr:to>
    <xdr:sp macro="" textlink="">
      <xdr:nvSpPr>
        <xdr:cNvPr id="1140" name="오른쪽으로 구부러진 화살표 113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213</xdr:row>
      <xdr:rowOff>0</xdr:rowOff>
    </xdr:from>
    <xdr:to>
      <xdr:col>3</xdr:col>
      <xdr:colOff>304800</xdr:colOff>
      <xdr:row>215</xdr:row>
      <xdr:rowOff>6350</xdr:rowOff>
    </xdr:to>
    <xdr:sp macro="" textlink="">
      <xdr:nvSpPr>
        <xdr:cNvPr id="1141" name="오른쪽으로 구부러진 화살표 114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215</xdr:row>
      <xdr:rowOff>0</xdr:rowOff>
    </xdr:from>
    <xdr:to>
      <xdr:col>3</xdr:col>
      <xdr:colOff>304800</xdr:colOff>
      <xdr:row>217</xdr:row>
      <xdr:rowOff>6350</xdr:rowOff>
    </xdr:to>
    <xdr:sp macro="" textlink="">
      <xdr:nvSpPr>
        <xdr:cNvPr id="1142" name="오른쪽으로 구부러진 화살표 114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210</xdr:row>
      <xdr:rowOff>76200</xdr:rowOff>
    </xdr:from>
    <xdr:to>
      <xdr:col>4</xdr:col>
      <xdr:colOff>0</xdr:colOff>
      <xdr:row>210</xdr:row>
      <xdr:rowOff>190500</xdr:rowOff>
    </xdr:to>
    <xdr:sp macro="" textlink="">
      <xdr:nvSpPr>
        <xdr:cNvPr id="1143" name="오른쪽 화살표 114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217</xdr:row>
      <xdr:rowOff>38100</xdr:rowOff>
    </xdr:from>
    <xdr:to>
      <xdr:col>3</xdr:col>
      <xdr:colOff>304800</xdr:colOff>
      <xdr:row>217</xdr:row>
      <xdr:rowOff>165100</xdr:rowOff>
    </xdr:to>
    <xdr:sp macro="" textlink="">
      <xdr:nvSpPr>
        <xdr:cNvPr id="1144" name="왼쪽 화살표 114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220</xdr:row>
      <xdr:rowOff>0</xdr:rowOff>
    </xdr:from>
    <xdr:to>
      <xdr:col>3</xdr:col>
      <xdr:colOff>304800</xdr:colOff>
      <xdr:row>222</xdr:row>
      <xdr:rowOff>6350</xdr:rowOff>
    </xdr:to>
    <xdr:sp macro="" textlink="">
      <xdr:nvSpPr>
        <xdr:cNvPr id="1145" name="오른쪽으로 구부러진 화살표 114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222</xdr:row>
      <xdr:rowOff>0</xdr:rowOff>
    </xdr:from>
    <xdr:to>
      <xdr:col>3</xdr:col>
      <xdr:colOff>304800</xdr:colOff>
      <xdr:row>224</xdr:row>
      <xdr:rowOff>6350</xdr:rowOff>
    </xdr:to>
    <xdr:sp macro="" textlink="">
      <xdr:nvSpPr>
        <xdr:cNvPr id="1146" name="오른쪽으로 구부러진 화살표 114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224</xdr:row>
      <xdr:rowOff>0</xdr:rowOff>
    </xdr:from>
    <xdr:to>
      <xdr:col>3</xdr:col>
      <xdr:colOff>304800</xdr:colOff>
      <xdr:row>226</xdr:row>
      <xdr:rowOff>6350</xdr:rowOff>
    </xdr:to>
    <xdr:sp macro="" textlink="">
      <xdr:nvSpPr>
        <xdr:cNvPr id="1147" name="오른쪽으로 구부러진 화살표 114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220</xdr:row>
      <xdr:rowOff>0</xdr:rowOff>
    </xdr:from>
    <xdr:to>
      <xdr:col>3</xdr:col>
      <xdr:colOff>304800</xdr:colOff>
      <xdr:row>222</xdr:row>
      <xdr:rowOff>6350</xdr:rowOff>
    </xdr:to>
    <xdr:sp macro="" textlink="">
      <xdr:nvSpPr>
        <xdr:cNvPr id="1148" name="오른쪽으로 구부러진 화살표 114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222</xdr:row>
      <xdr:rowOff>0</xdr:rowOff>
    </xdr:from>
    <xdr:to>
      <xdr:col>3</xdr:col>
      <xdr:colOff>304800</xdr:colOff>
      <xdr:row>224</xdr:row>
      <xdr:rowOff>6350</xdr:rowOff>
    </xdr:to>
    <xdr:sp macro="" textlink="">
      <xdr:nvSpPr>
        <xdr:cNvPr id="1149" name="오른쪽으로 구부러진 화살표 114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224</xdr:row>
      <xdr:rowOff>0</xdr:rowOff>
    </xdr:from>
    <xdr:to>
      <xdr:col>3</xdr:col>
      <xdr:colOff>304800</xdr:colOff>
      <xdr:row>226</xdr:row>
      <xdr:rowOff>6350</xdr:rowOff>
    </xdr:to>
    <xdr:sp macro="" textlink="">
      <xdr:nvSpPr>
        <xdr:cNvPr id="1150" name="오른쪽으로 구부러진 화살표 114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219</xdr:row>
      <xdr:rowOff>76200</xdr:rowOff>
    </xdr:from>
    <xdr:to>
      <xdr:col>4</xdr:col>
      <xdr:colOff>0</xdr:colOff>
      <xdr:row>219</xdr:row>
      <xdr:rowOff>190500</xdr:rowOff>
    </xdr:to>
    <xdr:sp macro="" textlink="">
      <xdr:nvSpPr>
        <xdr:cNvPr id="1151" name="오른쪽 화살표 115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226</xdr:row>
      <xdr:rowOff>38100</xdr:rowOff>
    </xdr:from>
    <xdr:to>
      <xdr:col>3</xdr:col>
      <xdr:colOff>304800</xdr:colOff>
      <xdr:row>226</xdr:row>
      <xdr:rowOff>165100</xdr:rowOff>
    </xdr:to>
    <xdr:sp macro="" textlink="">
      <xdr:nvSpPr>
        <xdr:cNvPr id="1152" name="왼쪽 화살표 115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229</xdr:row>
      <xdr:rowOff>0</xdr:rowOff>
    </xdr:from>
    <xdr:to>
      <xdr:col>3</xdr:col>
      <xdr:colOff>304800</xdr:colOff>
      <xdr:row>231</xdr:row>
      <xdr:rowOff>6350</xdr:rowOff>
    </xdr:to>
    <xdr:sp macro="" textlink="">
      <xdr:nvSpPr>
        <xdr:cNvPr id="1153" name="오른쪽으로 구부러진 화살표 115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231</xdr:row>
      <xdr:rowOff>0</xdr:rowOff>
    </xdr:from>
    <xdr:to>
      <xdr:col>3</xdr:col>
      <xdr:colOff>304800</xdr:colOff>
      <xdr:row>233</xdr:row>
      <xdr:rowOff>6350</xdr:rowOff>
    </xdr:to>
    <xdr:sp macro="" textlink="">
      <xdr:nvSpPr>
        <xdr:cNvPr id="1154" name="오른쪽으로 구부러진 화살표 115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233</xdr:row>
      <xdr:rowOff>0</xdr:rowOff>
    </xdr:from>
    <xdr:to>
      <xdr:col>3</xdr:col>
      <xdr:colOff>304800</xdr:colOff>
      <xdr:row>235</xdr:row>
      <xdr:rowOff>6350</xdr:rowOff>
    </xdr:to>
    <xdr:sp macro="" textlink="">
      <xdr:nvSpPr>
        <xdr:cNvPr id="1155" name="오른쪽으로 구부러진 화살표 115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229</xdr:row>
      <xdr:rowOff>0</xdr:rowOff>
    </xdr:from>
    <xdr:to>
      <xdr:col>3</xdr:col>
      <xdr:colOff>304800</xdr:colOff>
      <xdr:row>231</xdr:row>
      <xdr:rowOff>6350</xdr:rowOff>
    </xdr:to>
    <xdr:sp macro="" textlink="">
      <xdr:nvSpPr>
        <xdr:cNvPr id="1156" name="오른쪽으로 구부러진 화살표 115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231</xdr:row>
      <xdr:rowOff>0</xdr:rowOff>
    </xdr:from>
    <xdr:to>
      <xdr:col>3</xdr:col>
      <xdr:colOff>304800</xdr:colOff>
      <xdr:row>233</xdr:row>
      <xdr:rowOff>6350</xdr:rowOff>
    </xdr:to>
    <xdr:sp macro="" textlink="">
      <xdr:nvSpPr>
        <xdr:cNvPr id="1157" name="오른쪽으로 구부러진 화살표 115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233</xdr:row>
      <xdr:rowOff>0</xdr:rowOff>
    </xdr:from>
    <xdr:to>
      <xdr:col>3</xdr:col>
      <xdr:colOff>304800</xdr:colOff>
      <xdr:row>235</xdr:row>
      <xdr:rowOff>6350</xdr:rowOff>
    </xdr:to>
    <xdr:sp macro="" textlink="">
      <xdr:nvSpPr>
        <xdr:cNvPr id="1158" name="오른쪽으로 구부러진 화살표 115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228</xdr:row>
      <xdr:rowOff>76200</xdr:rowOff>
    </xdr:from>
    <xdr:to>
      <xdr:col>4</xdr:col>
      <xdr:colOff>0</xdr:colOff>
      <xdr:row>228</xdr:row>
      <xdr:rowOff>190500</xdr:rowOff>
    </xdr:to>
    <xdr:sp macro="" textlink="">
      <xdr:nvSpPr>
        <xdr:cNvPr id="1159" name="오른쪽 화살표 115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235</xdr:row>
      <xdr:rowOff>38100</xdr:rowOff>
    </xdr:from>
    <xdr:to>
      <xdr:col>3</xdr:col>
      <xdr:colOff>304800</xdr:colOff>
      <xdr:row>235</xdr:row>
      <xdr:rowOff>165100</xdr:rowOff>
    </xdr:to>
    <xdr:sp macro="" textlink="">
      <xdr:nvSpPr>
        <xdr:cNvPr id="1160" name="왼쪽 화살표 115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238</xdr:row>
      <xdr:rowOff>0</xdr:rowOff>
    </xdr:from>
    <xdr:to>
      <xdr:col>3</xdr:col>
      <xdr:colOff>304800</xdr:colOff>
      <xdr:row>240</xdr:row>
      <xdr:rowOff>6350</xdr:rowOff>
    </xdr:to>
    <xdr:sp macro="" textlink="">
      <xdr:nvSpPr>
        <xdr:cNvPr id="1161" name="오른쪽으로 구부러진 화살표 116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240</xdr:row>
      <xdr:rowOff>0</xdr:rowOff>
    </xdr:from>
    <xdr:to>
      <xdr:col>3</xdr:col>
      <xdr:colOff>304800</xdr:colOff>
      <xdr:row>242</xdr:row>
      <xdr:rowOff>6350</xdr:rowOff>
    </xdr:to>
    <xdr:sp macro="" textlink="">
      <xdr:nvSpPr>
        <xdr:cNvPr id="1162" name="오른쪽으로 구부러진 화살표 116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242</xdr:row>
      <xdr:rowOff>0</xdr:rowOff>
    </xdr:from>
    <xdr:to>
      <xdr:col>3</xdr:col>
      <xdr:colOff>304800</xdr:colOff>
      <xdr:row>244</xdr:row>
      <xdr:rowOff>6350</xdr:rowOff>
    </xdr:to>
    <xdr:sp macro="" textlink="">
      <xdr:nvSpPr>
        <xdr:cNvPr id="1163" name="오른쪽으로 구부러진 화살표 116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238</xdr:row>
      <xdr:rowOff>0</xdr:rowOff>
    </xdr:from>
    <xdr:to>
      <xdr:col>3</xdr:col>
      <xdr:colOff>304800</xdr:colOff>
      <xdr:row>240</xdr:row>
      <xdr:rowOff>6350</xdr:rowOff>
    </xdr:to>
    <xdr:sp macro="" textlink="">
      <xdr:nvSpPr>
        <xdr:cNvPr id="1164" name="오른쪽으로 구부러진 화살표 116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240</xdr:row>
      <xdr:rowOff>0</xdr:rowOff>
    </xdr:from>
    <xdr:to>
      <xdr:col>3</xdr:col>
      <xdr:colOff>304800</xdr:colOff>
      <xdr:row>242</xdr:row>
      <xdr:rowOff>6350</xdr:rowOff>
    </xdr:to>
    <xdr:sp macro="" textlink="">
      <xdr:nvSpPr>
        <xdr:cNvPr id="1165" name="오른쪽으로 구부러진 화살표 116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242</xdr:row>
      <xdr:rowOff>0</xdr:rowOff>
    </xdr:from>
    <xdr:to>
      <xdr:col>3</xdr:col>
      <xdr:colOff>304800</xdr:colOff>
      <xdr:row>244</xdr:row>
      <xdr:rowOff>6350</xdr:rowOff>
    </xdr:to>
    <xdr:sp macro="" textlink="">
      <xdr:nvSpPr>
        <xdr:cNvPr id="1166" name="오른쪽으로 구부러진 화살표 116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237</xdr:row>
      <xdr:rowOff>76200</xdr:rowOff>
    </xdr:from>
    <xdr:to>
      <xdr:col>4</xdr:col>
      <xdr:colOff>0</xdr:colOff>
      <xdr:row>237</xdr:row>
      <xdr:rowOff>190500</xdr:rowOff>
    </xdr:to>
    <xdr:sp macro="" textlink="">
      <xdr:nvSpPr>
        <xdr:cNvPr id="1167" name="오른쪽 화살표 116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244</xdr:row>
      <xdr:rowOff>38100</xdr:rowOff>
    </xdr:from>
    <xdr:to>
      <xdr:col>3</xdr:col>
      <xdr:colOff>304800</xdr:colOff>
      <xdr:row>244</xdr:row>
      <xdr:rowOff>165100</xdr:rowOff>
    </xdr:to>
    <xdr:sp macro="" textlink="">
      <xdr:nvSpPr>
        <xdr:cNvPr id="1168" name="왼쪽 화살표 116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247</xdr:row>
      <xdr:rowOff>0</xdr:rowOff>
    </xdr:from>
    <xdr:to>
      <xdr:col>3</xdr:col>
      <xdr:colOff>304800</xdr:colOff>
      <xdr:row>249</xdr:row>
      <xdr:rowOff>6350</xdr:rowOff>
    </xdr:to>
    <xdr:sp macro="" textlink="">
      <xdr:nvSpPr>
        <xdr:cNvPr id="1169" name="오른쪽으로 구부러진 화살표 116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249</xdr:row>
      <xdr:rowOff>0</xdr:rowOff>
    </xdr:from>
    <xdr:to>
      <xdr:col>3</xdr:col>
      <xdr:colOff>304800</xdr:colOff>
      <xdr:row>251</xdr:row>
      <xdr:rowOff>6350</xdr:rowOff>
    </xdr:to>
    <xdr:sp macro="" textlink="">
      <xdr:nvSpPr>
        <xdr:cNvPr id="1170" name="오른쪽으로 구부러진 화살표 116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251</xdr:row>
      <xdr:rowOff>0</xdr:rowOff>
    </xdr:from>
    <xdr:to>
      <xdr:col>3</xdr:col>
      <xdr:colOff>304800</xdr:colOff>
      <xdr:row>253</xdr:row>
      <xdr:rowOff>6350</xdr:rowOff>
    </xdr:to>
    <xdr:sp macro="" textlink="">
      <xdr:nvSpPr>
        <xdr:cNvPr id="1171" name="오른쪽으로 구부러진 화살표 117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247</xdr:row>
      <xdr:rowOff>0</xdr:rowOff>
    </xdr:from>
    <xdr:to>
      <xdr:col>3</xdr:col>
      <xdr:colOff>304800</xdr:colOff>
      <xdr:row>249</xdr:row>
      <xdr:rowOff>6350</xdr:rowOff>
    </xdr:to>
    <xdr:sp macro="" textlink="">
      <xdr:nvSpPr>
        <xdr:cNvPr id="1172" name="오른쪽으로 구부러진 화살표 117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249</xdr:row>
      <xdr:rowOff>0</xdr:rowOff>
    </xdr:from>
    <xdr:to>
      <xdr:col>3</xdr:col>
      <xdr:colOff>304800</xdr:colOff>
      <xdr:row>251</xdr:row>
      <xdr:rowOff>6350</xdr:rowOff>
    </xdr:to>
    <xdr:sp macro="" textlink="">
      <xdr:nvSpPr>
        <xdr:cNvPr id="1173" name="오른쪽으로 구부러진 화살표 117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251</xdr:row>
      <xdr:rowOff>0</xdr:rowOff>
    </xdr:from>
    <xdr:to>
      <xdr:col>3</xdr:col>
      <xdr:colOff>304800</xdr:colOff>
      <xdr:row>253</xdr:row>
      <xdr:rowOff>6350</xdr:rowOff>
    </xdr:to>
    <xdr:sp macro="" textlink="">
      <xdr:nvSpPr>
        <xdr:cNvPr id="1174" name="오른쪽으로 구부러진 화살표 117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246</xdr:row>
      <xdr:rowOff>76200</xdr:rowOff>
    </xdr:from>
    <xdr:to>
      <xdr:col>4</xdr:col>
      <xdr:colOff>0</xdr:colOff>
      <xdr:row>246</xdr:row>
      <xdr:rowOff>190500</xdr:rowOff>
    </xdr:to>
    <xdr:sp macro="" textlink="">
      <xdr:nvSpPr>
        <xdr:cNvPr id="1175" name="오른쪽 화살표 117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253</xdr:row>
      <xdr:rowOff>38100</xdr:rowOff>
    </xdr:from>
    <xdr:to>
      <xdr:col>3</xdr:col>
      <xdr:colOff>304800</xdr:colOff>
      <xdr:row>253</xdr:row>
      <xdr:rowOff>165100</xdr:rowOff>
    </xdr:to>
    <xdr:sp macro="" textlink="">
      <xdr:nvSpPr>
        <xdr:cNvPr id="1176" name="왼쪽 화살표 117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256</xdr:row>
      <xdr:rowOff>0</xdr:rowOff>
    </xdr:from>
    <xdr:to>
      <xdr:col>3</xdr:col>
      <xdr:colOff>304800</xdr:colOff>
      <xdr:row>258</xdr:row>
      <xdr:rowOff>6350</xdr:rowOff>
    </xdr:to>
    <xdr:sp macro="" textlink="">
      <xdr:nvSpPr>
        <xdr:cNvPr id="1177" name="오른쪽으로 구부러진 화살표 117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258</xdr:row>
      <xdr:rowOff>0</xdr:rowOff>
    </xdr:from>
    <xdr:to>
      <xdr:col>3</xdr:col>
      <xdr:colOff>304800</xdr:colOff>
      <xdr:row>260</xdr:row>
      <xdr:rowOff>6350</xdr:rowOff>
    </xdr:to>
    <xdr:sp macro="" textlink="">
      <xdr:nvSpPr>
        <xdr:cNvPr id="1178" name="오른쪽으로 구부러진 화살표 117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260</xdr:row>
      <xdr:rowOff>0</xdr:rowOff>
    </xdr:from>
    <xdr:to>
      <xdr:col>3</xdr:col>
      <xdr:colOff>304800</xdr:colOff>
      <xdr:row>262</xdr:row>
      <xdr:rowOff>6350</xdr:rowOff>
    </xdr:to>
    <xdr:sp macro="" textlink="">
      <xdr:nvSpPr>
        <xdr:cNvPr id="1179" name="오른쪽으로 구부러진 화살표 117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256</xdr:row>
      <xdr:rowOff>0</xdr:rowOff>
    </xdr:from>
    <xdr:to>
      <xdr:col>3</xdr:col>
      <xdr:colOff>304800</xdr:colOff>
      <xdr:row>258</xdr:row>
      <xdr:rowOff>6350</xdr:rowOff>
    </xdr:to>
    <xdr:sp macro="" textlink="">
      <xdr:nvSpPr>
        <xdr:cNvPr id="1180" name="오른쪽으로 구부러진 화살표 117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258</xdr:row>
      <xdr:rowOff>0</xdr:rowOff>
    </xdr:from>
    <xdr:to>
      <xdr:col>3</xdr:col>
      <xdr:colOff>304800</xdr:colOff>
      <xdr:row>260</xdr:row>
      <xdr:rowOff>6350</xdr:rowOff>
    </xdr:to>
    <xdr:sp macro="" textlink="">
      <xdr:nvSpPr>
        <xdr:cNvPr id="1181" name="오른쪽으로 구부러진 화살표 118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260</xdr:row>
      <xdr:rowOff>0</xdr:rowOff>
    </xdr:from>
    <xdr:to>
      <xdr:col>3</xdr:col>
      <xdr:colOff>304800</xdr:colOff>
      <xdr:row>262</xdr:row>
      <xdr:rowOff>6350</xdr:rowOff>
    </xdr:to>
    <xdr:sp macro="" textlink="">
      <xdr:nvSpPr>
        <xdr:cNvPr id="1182" name="오른쪽으로 구부러진 화살표 118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255</xdr:row>
      <xdr:rowOff>76200</xdr:rowOff>
    </xdr:from>
    <xdr:to>
      <xdr:col>4</xdr:col>
      <xdr:colOff>0</xdr:colOff>
      <xdr:row>255</xdr:row>
      <xdr:rowOff>190500</xdr:rowOff>
    </xdr:to>
    <xdr:sp macro="" textlink="">
      <xdr:nvSpPr>
        <xdr:cNvPr id="1183" name="오른쪽 화살표 118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262</xdr:row>
      <xdr:rowOff>38100</xdr:rowOff>
    </xdr:from>
    <xdr:to>
      <xdr:col>3</xdr:col>
      <xdr:colOff>304800</xdr:colOff>
      <xdr:row>262</xdr:row>
      <xdr:rowOff>165100</xdr:rowOff>
    </xdr:to>
    <xdr:sp macro="" textlink="">
      <xdr:nvSpPr>
        <xdr:cNvPr id="1184" name="왼쪽 화살표 118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265</xdr:row>
      <xdr:rowOff>0</xdr:rowOff>
    </xdr:from>
    <xdr:to>
      <xdr:col>3</xdr:col>
      <xdr:colOff>304800</xdr:colOff>
      <xdr:row>267</xdr:row>
      <xdr:rowOff>6350</xdr:rowOff>
    </xdr:to>
    <xdr:sp macro="" textlink="">
      <xdr:nvSpPr>
        <xdr:cNvPr id="1185" name="오른쪽으로 구부러진 화살표 118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267</xdr:row>
      <xdr:rowOff>0</xdr:rowOff>
    </xdr:from>
    <xdr:to>
      <xdr:col>3</xdr:col>
      <xdr:colOff>304800</xdr:colOff>
      <xdr:row>269</xdr:row>
      <xdr:rowOff>6350</xdr:rowOff>
    </xdr:to>
    <xdr:sp macro="" textlink="">
      <xdr:nvSpPr>
        <xdr:cNvPr id="1186" name="오른쪽으로 구부러진 화살표 118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269</xdr:row>
      <xdr:rowOff>0</xdr:rowOff>
    </xdr:from>
    <xdr:to>
      <xdr:col>3</xdr:col>
      <xdr:colOff>304800</xdr:colOff>
      <xdr:row>271</xdr:row>
      <xdr:rowOff>6350</xdr:rowOff>
    </xdr:to>
    <xdr:sp macro="" textlink="">
      <xdr:nvSpPr>
        <xdr:cNvPr id="1187" name="오른쪽으로 구부러진 화살표 118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265</xdr:row>
      <xdr:rowOff>0</xdr:rowOff>
    </xdr:from>
    <xdr:to>
      <xdr:col>3</xdr:col>
      <xdr:colOff>304800</xdr:colOff>
      <xdr:row>267</xdr:row>
      <xdr:rowOff>6350</xdr:rowOff>
    </xdr:to>
    <xdr:sp macro="" textlink="">
      <xdr:nvSpPr>
        <xdr:cNvPr id="1188" name="오른쪽으로 구부러진 화살표 118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267</xdr:row>
      <xdr:rowOff>0</xdr:rowOff>
    </xdr:from>
    <xdr:to>
      <xdr:col>3</xdr:col>
      <xdr:colOff>304800</xdr:colOff>
      <xdr:row>269</xdr:row>
      <xdr:rowOff>6350</xdr:rowOff>
    </xdr:to>
    <xdr:sp macro="" textlink="">
      <xdr:nvSpPr>
        <xdr:cNvPr id="1189" name="오른쪽으로 구부러진 화살표 118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269</xdr:row>
      <xdr:rowOff>0</xdr:rowOff>
    </xdr:from>
    <xdr:to>
      <xdr:col>3</xdr:col>
      <xdr:colOff>304800</xdr:colOff>
      <xdr:row>271</xdr:row>
      <xdr:rowOff>6350</xdr:rowOff>
    </xdr:to>
    <xdr:sp macro="" textlink="">
      <xdr:nvSpPr>
        <xdr:cNvPr id="1190" name="오른쪽으로 구부러진 화살표 118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264</xdr:row>
      <xdr:rowOff>76200</xdr:rowOff>
    </xdr:from>
    <xdr:to>
      <xdr:col>4</xdr:col>
      <xdr:colOff>0</xdr:colOff>
      <xdr:row>264</xdr:row>
      <xdr:rowOff>190500</xdr:rowOff>
    </xdr:to>
    <xdr:sp macro="" textlink="">
      <xdr:nvSpPr>
        <xdr:cNvPr id="1191" name="오른쪽 화살표 119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271</xdr:row>
      <xdr:rowOff>38100</xdr:rowOff>
    </xdr:from>
    <xdr:to>
      <xdr:col>3</xdr:col>
      <xdr:colOff>304800</xdr:colOff>
      <xdr:row>271</xdr:row>
      <xdr:rowOff>165100</xdr:rowOff>
    </xdr:to>
    <xdr:sp macro="" textlink="">
      <xdr:nvSpPr>
        <xdr:cNvPr id="1192" name="왼쪽 화살표 119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274</xdr:row>
      <xdr:rowOff>0</xdr:rowOff>
    </xdr:from>
    <xdr:to>
      <xdr:col>3</xdr:col>
      <xdr:colOff>304800</xdr:colOff>
      <xdr:row>276</xdr:row>
      <xdr:rowOff>6350</xdr:rowOff>
    </xdr:to>
    <xdr:sp macro="" textlink="">
      <xdr:nvSpPr>
        <xdr:cNvPr id="1193" name="오른쪽으로 구부러진 화살표 119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276</xdr:row>
      <xdr:rowOff>0</xdr:rowOff>
    </xdr:from>
    <xdr:to>
      <xdr:col>3</xdr:col>
      <xdr:colOff>304800</xdr:colOff>
      <xdr:row>278</xdr:row>
      <xdr:rowOff>6350</xdr:rowOff>
    </xdr:to>
    <xdr:sp macro="" textlink="">
      <xdr:nvSpPr>
        <xdr:cNvPr id="1194" name="오른쪽으로 구부러진 화살표 119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278</xdr:row>
      <xdr:rowOff>0</xdr:rowOff>
    </xdr:from>
    <xdr:to>
      <xdr:col>3</xdr:col>
      <xdr:colOff>304800</xdr:colOff>
      <xdr:row>280</xdr:row>
      <xdr:rowOff>6350</xdr:rowOff>
    </xdr:to>
    <xdr:sp macro="" textlink="">
      <xdr:nvSpPr>
        <xdr:cNvPr id="1195" name="오른쪽으로 구부러진 화살표 119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274</xdr:row>
      <xdr:rowOff>0</xdr:rowOff>
    </xdr:from>
    <xdr:to>
      <xdr:col>3</xdr:col>
      <xdr:colOff>304800</xdr:colOff>
      <xdr:row>276</xdr:row>
      <xdr:rowOff>6350</xdr:rowOff>
    </xdr:to>
    <xdr:sp macro="" textlink="">
      <xdr:nvSpPr>
        <xdr:cNvPr id="1196" name="오른쪽으로 구부러진 화살표 119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276</xdr:row>
      <xdr:rowOff>0</xdr:rowOff>
    </xdr:from>
    <xdr:to>
      <xdr:col>3</xdr:col>
      <xdr:colOff>304800</xdr:colOff>
      <xdr:row>278</xdr:row>
      <xdr:rowOff>6350</xdr:rowOff>
    </xdr:to>
    <xdr:sp macro="" textlink="">
      <xdr:nvSpPr>
        <xdr:cNvPr id="1197" name="오른쪽으로 구부러진 화살표 119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278</xdr:row>
      <xdr:rowOff>0</xdr:rowOff>
    </xdr:from>
    <xdr:to>
      <xdr:col>3</xdr:col>
      <xdr:colOff>304800</xdr:colOff>
      <xdr:row>280</xdr:row>
      <xdr:rowOff>6350</xdr:rowOff>
    </xdr:to>
    <xdr:sp macro="" textlink="">
      <xdr:nvSpPr>
        <xdr:cNvPr id="1198" name="오른쪽으로 구부러진 화살표 119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273</xdr:row>
      <xdr:rowOff>76200</xdr:rowOff>
    </xdr:from>
    <xdr:to>
      <xdr:col>4</xdr:col>
      <xdr:colOff>0</xdr:colOff>
      <xdr:row>273</xdr:row>
      <xdr:rowOff>190500</xdr:rowOff>
    </xdr:to>
    <xdr:sp macro="" textlink="">
      <xdr:nvSpPr>
        <xdr:cNvPr id="1199" name="오른쪽 화살표 119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280</xdr:row>
      <xdr:rowOff>38100</xdr:rowOff>
    </xdr:from>
    <xdr:to>
      <xdr:col>3</xdr:col>
      <xdr:colOff>304800</xdr:colOff>
      <xdr:row>280</xdr:row>
      <xdr:rowOff>165100</xdr:rowOff>
    </xdr:to>
    <xdr:sp macro="" textlink="">
      <xdr:nvSpPr>
        <xdr:cNvPr id="1200" name="왼쪽 화살표 119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283</xdr:row>
      <xdr:rowOff>0</xdr:rowOff>
    </xdr:from>
    <xdr:to>
      <xdr:col>3</xdr:col>
      <xdr:colOff>304800</xdr:colOff>
      <xdr:row>285</xdr:row>
      <xdr:rowOff>6350</xdr:rowOff>
    </xdr:to>
    <xdr:sp macro="" textlink="">
      <xdr:nvSpPr>
        <xdr:cNvPr id="1201" name="오른쪽으로 구부러진 화살표 120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285</xdr:row>
      <xdr:rowOff>0</xdr:rowOff>
    </xdr:from>
    <xdr:to>
      <xdr:col>3</xdr:col>
      <xdr:colOff>304800</xdr:colOff>
      <xdr:row>287</xdr:row>
      <xdr:rowOff>6350</xdr:rowOff>
    </xdr:to>
    <xdr:sp macro="" textlink="">
      <xdr:nvSpPr>
        <xdr:cNvPr id="1202" name="오른쪽으로 구부러진 화살표 120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287</xdr:row>
      <xdr:rowOff>0</xdr:rowOff>
    </xdr:from>
    <xdr:to>
      <xdr:col>3</xdr:col>
      <xdr:colOff>304800</xdr:colOff>
      <xdr:row>289</xdr:row>
      <xdr:rowOff>6350</xdr:rowOff>
    </xdr:to>
    <xdr:sp macro="" textlink="">
      <xdr:nvSpPr>
        <xdr:cNvPr id="1203" name="오른쪽으로 구부러진 화살표 120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283</xdr:row>
      <xdr:rowOff>0</xdr:rowOff>
    </xdr:from>
    <xdr:to>
      <xdr:col>3</xdr:col>
      <xdr:colOff>304800</xdr:colOff>
      <xdr:row>285</xdr:row>
      <xdr:rowOff>6350</xdr:rowOff>
    </xdr:to>
    <xdr:sp macro="" textlink="">
      <xdr:nvSpPr>
        <xdr:cNvPr id="1204" name="오른쪽으로 구부러진 화살표 120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285</xdr:row>
      <xdr:rowOff>0</xdr:rowOff>
    </xdr:from>
    <xdr:to>
      <xdr:col>3</xdr:col>
      <xdr:colOff>304800</xdr:colOff>
      <xdr:row>287</xdr:row>
      <xdr:rowOff>6350</xdr:rowOff>
    </xdr:to>
    <xdr:sp macro="" textlink="">
      <xdr:nvSpPr>
        <xdr:cNvPr id="1205" name="오른쪽으로 구부러진 화살표 120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287</xdr:row>
      <xdr:rowOff>0</xdr:rowOff>
    </xdr:from>
    <xdr:to>
      <xdr:col>3</xdr:col>
      <xdr:colOff>304800</xdr:colOff>
      <xdr:row>289</xdr:row>
      <xdr:rowOff>6350</xdr:rowOff>
    </xdr:to>
    <xdr:sp macro="" textlink="">
      <xdr:nvSpPr>
        <xdr:cNvPr id="1206" name="오른쪽으로 구부러진 화살표 120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282</xdr:row>
      <xdr:rowOff>76200</xdr:rowOff>
    </xdr:from>
    <xdr:to>
      <xdr:col>4</xdr:col>
      <xdr:colOff>0</xdr:colOff>
      <xdr:row>282</xdr:row>
      <xdr:rowOff>190500</xdr:rowOff>
    </xdr:to>
    <xdr:sp macro="" textlink="">
      <xdr:nvSpPr>
        <xdr:cNvPr id="1207" name="오른쪽 화살표 120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289</xdr:row>
      <xdr:rowOff>38100</xdr:rowOff>
    </xdr:from>
    <xdr:to>
      <xdr:col>3</xdr:col>
      <xdr:colOff>304800</xdr:colOff>
      <xdr:row>289</xdr:row>
      <xdr:rowOff>165100</xdr:rowOff>
    </xdr:to>
    <xdr:sp macro="" textlink="">
      <xdr:nvSpPr>
        <xdr:cNvPr id="1208" name="왼쪽 화살표 120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292</xdr:row>
      <xdr:rowOff>0</xdr:rowOff>
    </xdr:from>
    <xdr:to>
      <xdr:col>3</xdr:col>
      <xdr:colOff>304800</xdr:colOff>
      <xdr:row>294</xdr:row>
      <xdr:rowOff>6350</xdr:rowOff>
    </xdr:to>
    <xdr:sp macro="" textlink="">
      <xdr:nvSpPr>
        <xdr:cNvPr id="1209" name="오른쪽으로 구부러진 화살표 120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294</xdr:row>
      <xdr:rowOff>0</xdr:rowOff>
    </xdr:from>
    <xdr:to>
      <xdr:col>3</xdr:col>
      <xdr:colOff>304800</xdr:colOff>
      <xdr:row>296</xdr:row>
      <xdr:rowOff>6350</xdr:rowOff>
    </xdr:to>
    <xdr:sp macro="" textlink="">
      <xdr:nvSpPr>
        <xdr:cNvPr id="1210" name="오른쪽으로 구부러진 화살표 120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296</xdr:row>
      <xdr:rowOff>0</xdr:rowOff>
    </xdr:from>
    <xdr:to>
      <xdr:col>3</xdr:col>
      <xdr:colOff>304800</xdr:colOff>
      <xdr:row>298</xdr:row>
      <xdr:rowOff>6350</xdr:rowOff>
    </xdr:to>
    <xdr:sp macro="" textlink="">
      <xdr:nvSpPr>
        <xdr:cNvPr id="1211" name="오른쪽으로 구부러진 화살표 121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292</xdr:row>
      <xdr:rowOff>0</xdr:rowOff>
    </xdr:from>
    <xdr:to>
      <xdr:col>3</xdr:col>
      <xdr:colOff>304800</xdr:colOff>
      <xdr:row>294</xdr:row>
      <xdr:rowOff>6350</xdr:rowOff>
    </xdr:to>
    <xdr:sp macro="" textlink="">
      <xdr:nvSpPr>
        <xdr:cNvPr id="1212" name="오른쪽으로 구부러진 화살표 121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294</xdr:row>
      <xdr:rowOff>0</xdr:rowOff>
    </xdr:from>
    <xdr:to>
      <xdr:col>3</xdr:col>
      <xdr:colOff>304800</xdr:colOff>
      <xdr:row>296</xdr:row>
      <xdr:rowOff>6350</xdr:rowOff>
    </xdr:to>
    <xdr:sp macro="" textlink="">
      <xdr:nvSpPr>
        <xdr:cNvPr id="1213" name="오른쪽으로 구부러진 화살표 121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296</xdr:row>
      <xdr:rowOff>0</xdr:rowOff>
    </xdr:from>
    <xdr:to>
      <xdr:col>3</xdr:col>
      <xdr:colOff>304800</xdr:colOff>
      <xdr:row>298</xdr:row>
      <xdr:rowOff>6350</xdr:rowOff>
    </xdr:to>
    <xdr:sp macro="" textlink="">
      <xdr:nvSpPr>
        <xdr:cNvPr id="1214" name="오른쪽으로 구부러진 화살표 121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291</xdr:row>
      <xdr:rowOff>76200</xdr:rowOff>
    </xdr:from>
    <xdr:to>
      <xdr:col>4</xdr:col>
      <xdr:colOff>0</xdr:colOff>
      <xdr:row>291</xdr:row>
      <xdr:rowOff>190500</xdr:rowOff>
    </xdr:to>
    <xdr:sp macro="" textlink="">
      <xdr:nvSpPr>
        <xdr:cNvPr id="1215" name="오른쪽 화살표 121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298</xdr:row>
      <xdr:rowOff>38100</xdr:rowOff>
    </xdr:from>
    <xdr:to>
      <xdr:col>3</xdr:col>
      <xdr:colOff>304800</xdr:colOff>
      <xdr:row>298</xdr:row>
      <xdr:rowOff>165100</xdr:rowOff>
    </xdr:to>
    <xdr:sp macro="" textlink="">
      <xdr:nvSpPr>
        <xdr:cNvPr id="1216" name="왼쪽 화살표 121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301</xdr:row>
      <xdr:rowOff>0</xdr:rowOff>
    </xdr:from>
    <xdr:to>
      <xdr:col>3</xdr:col>
      <xdr:colOff>304800</xdr:colOff>
      <xdr:row>303</xdr:row>
      <xdr:rowOff>6350</xdr:rowOff>
    </xdr:to>
    <xdr:sp macro="" textlink="">
      <xdr:nvSpPr>
        <xdr:cNvPr id="1217" name="오른쪽으로 구부러진 화살표 121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303</xdr:row>
      <xdr:rowOff>0</xdr:rowOff>
    </xdr:from>
    <xdr:to>
      <xdr:col>3</xdr:col>
      <xdr:colOff>304800</xdr:colOff>
      <xdr:row>305</xdr:row>
      <xdr:rowOff>6350</xdr:rowOff>
    </xdr:to>
    <xdr:sp macro="" textlink="">
      <xdr:nvSpPr>
        <xdr:cNvPr id="1218" name="오른쪽으로 구부러진 화살표 121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305</xdr:row>
      <xdr:rowOff>0</xdr:rowOff>
    </xdr:from>
    <xdr:to>
      <xdr:col>3</xdr:col>
      <xdr:colOff>304800</xdr:colOff>
      <xdr:row>307</xdr:row>
      <xdr:rowOff>6350</xdr:rowOff>
    </xdr:to>
    <xdr:sp macro="" textlink="">
      <xdr:nvSpPr>
        <xdr:cNvPr id="1219" name="오른쪽으로 구부러진 화살표 121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301</xdr:row>
      <xdr:rowOff>0</xdr:rowOff>
    </xdr:from>
    <xdr:to>
      <xdr:col>3</xdr:col>
      <xdr:colOff>304800</xdr:colOff>
      <xdr:row>303</xdr:row>
      <xdr:rowOff>6350</xdr:rowOff>
    </xdr:to>
    <xdr:sp macro="" textlink="">
      <xdr:nvSpPr>
        <xdr:cNvPr id="1220" name="오른쪽으로 구부러진 화살표 121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303</xdr:row>
      <xdr:rowOff>0</xdr:rowOff>
    </xdr:from>
    <xdr:to>
      <xdr:col>3</xdr:col>
      <xdr:colOff>304800</xdr:colOff>
      <xdr:row>305</xdr:row>
      <xdr:rowOff>6350</xdr:rowOff>
    </xdr:to>
    <xdr:sp macro="" textlink="">
      <xdr:nvSpPr>
        <xdr:cNvPr id="1221" name="오른쪽으로 구부러진 화살표 122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305</xdr:row>
      <xdr:rowOff>0</xdr:rowOff>
    </xdr:from>
    <xdr:to>
      <xdr:col>3</xdr:col>
      <xdr:colOff>304800</xdr:colOff>
      <xdr:row>307</xdr:row>
      <xdr:rowOff>6350</xdr:rowOff>
    </xdr:to>
    <xdr:sp macro="" textlink="">
      <xdr:nvSpPr>
        <xdr:cNvPr id="1222" name="오른쪽으로 구부러진 화살표 122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300</xdr:row>
      <xdr:rowOff>76200</xdr:rowOff>
    </xdr:from>
    <xdr:to>
      <xdr:col>4</xdr:col>
      <xdr:colOff>0</xdr:colOff>
      <xdr:row>300</xdr:row>
      <xdr:rowOff>190500</xdr:rowOff>
    </xdr:to>
    <xdr:sp macro="" textlink="">
      <xdr:nvSpPr>
        <xdr:cNvPr id="1223" name="오른쪽 화살표 122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307</xdr:row>
      <xdr:rowOff>38100</xdr:rowOff>
    </xdr:from>
    <xdr:to>
      <xdr:col>3</xdr:col>
      <xdr:colOff>304800</xdr:colOff>
      <xdr:row>307</xdr:row>
      <xdr:rowOff>165100</xdr:rowOff>
    </xdr:to>
    <xdr:sp macro="" textlink="">
      <xdr:nvSpPr>
        <xdr:cNvPr id="1224" name="왼쪽 화살표 122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310</xdr:row>
      <xdr:rowOff>0</xdr:rowOff>
    </xdr:from>
    <xdr:to>
      <xdr:col>3</xdr:col>
      <xdr:colOff>304800</xdr:colOff>
      <xdr:row>312</xdr:row>
      <xdr:rowOff>6350</xdr:rowOff>
    </xdr:to>
    <xdr:sp macro="" textlink="">
      <xdr:nvSpPr>
        <xdr:cNvPr id="1225" name="오른쪽으로 구부러진 화살표 122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312</xdr:row>
      <xdr:rowOff>0</xdr:rowOff>
    </xdr:from>
    <xdr:to>
      <xdr:col>3</xdr:col>
      <xdr:colOff>304800</xdr:colOff>
      <xdr:row>314</xdr:row>
      <xdr:rowOff>6350</xdr:rowOff>
    </xdr:to>
    <xdr:sp macro="" textlink="">
      <xdr:nvSpPr>
        <xdr:cNvPr id="1226" name="오른쪽으로 구부러진 화살표 122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314</xdr:row>
      <xdr:rowOff>0</xdr:rowOff>
    </xdr:from>
    <xdr:to>
      <xdr:col>3</xdr:col>
      <xdr:colOff>304800</xdr:colOff>
      <xdr:row>316</xdr:row>
      <xdr:rowOff>6350</xdr:rowOff>
    </xdr:to>
    <xdr:sp macro="" textlink="">
      <xdr:nvSpPr>
        <xdr:cNvPr id="1227" name="오른쪽으로 구부러진 화살표 122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310</xdr:row>
      <xdr:rowOff>0</xdr:rowOff>
    </xdr:from>
    <xdr:to>
      <xdr:col>3</xdr:col>
      <xdr:colOff>304800</xdr:colOff>
      <xdr:row>312</xdr:row>
      <xdr:rowOff>6350</xdr:rowOff>
    </xdr:to>
    <xdr:sp macro="" textlink="">
      <xdr:nvSpPr>
        <xdr:cNvPr id="1228" name="오른쪽으로 구부러진 화살표 122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312</xdr:row>
      <xdr:rowOff>0</xdr:rowOff>
    </xdr:from>
    <xdr:to>
      <xdr:col>3</xdr:col>
      <xdr:colOff>304800</xdr:colOff>
      <xdr:row>314</xdr:row>
      <xdr:rowOff>6350</xdr:rowOff>
    </xdr:to>
    <xdr:sp macro="" textlink="">
      <xdr:nvSpPr>
        <xdr:cNvPr id="1229" name="오른쪽으로 구부러진 화살표 122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314</xdr:row>
      <xdr:rowOff>0</xdr:rowOff>
    </xdr:from>
    <xdr:to>
      <xdr:col>3</xdr:col>
      <xdr:colOff>304800</xdr:colOff>
      <xdr:row>316</xdr:row>
      <xdr:rowOff>6350</xdr:rowOff>
    </xdr:to>
    <xdr:sp macro="" textlink="">
      <xdr:nvSpPr>
        <xdr:cNvPr id="1230" name="오른쪽으로 구부러진 화살표 122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309</xdr:row>
      <xdr:rowOff>76200</xdr:rowOff>
    </xdr:from>
    <xdr:to>
      <xdr:col>4</xdr:col>
      <xdr:colOff>0</xdr:colOff>
      <xdr:row>309</xdr:row>
      <xdr:rowOff>190500</xdr:rowOff>
    </xdr:to>
    <xdr:sp macro="" textlink="">
      <xdr:nvSpPr>
        <xdr:cNvPr id="1231" name="오른쪽 화살표 123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316</xdr:row>
      <xdr:rowOff>38100</xdr:rowOff>
    </xdr:from>
    <xdr:to>
      <xdr:col>3</xdr:col>
      <xdr:colOff>304800</xdr:colOff>
      <xdr:row>316</xdr:row>
      <xdr:rowOff>165100</xdr:rowOff>
    </xdr:to>
    <xdr:sp macro="" textlink="">
      <xdr:nvSpPr>
        <xdr:cNvPr id="1232" name="왼쪽 화살표 123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319</xdr:row>
      <xdr:rowOff>0</xdr:rowOff>
    </xdr:from>
    <xdr:to>
      <xdr:col>3</xdr:col>
      <xdr:colOff>304800</xdr:colOff>
      <xdr:row>321</xdr:row>
      <xdr:rowOff>6350</xdr:rowOff>
    </xdr:to>
    <xdr:sp macro="" textlink="">
      <xdr:nvSpPr>
        <xdr:cNvPr id="1233" name="오른쪽으로 구부러진 화살표 123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321</xdr:row>
      <xdr:rowOff>0</xdr:rowOff>
    </xdr:from>
    <xdr:to>
      <xdr:col>3</xdr:col>
      <xdr:colOff>304800</xdr:colOff>
      <xdr:row>323</xdr:row>
      <xdr:rowOff>6350</xdr:rowOff>
    </xdr:to>
    <xdr:sp macro="" textlink="">
      <xdr:nvSpPr>
        <xdr:cNvPr id="1234" name="오른쪽으로 구부러진 화살표 123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323</xdr:row>
      <xdr:rowOff>0</xdr:rowOff>
    </xdr:from>
    <xdr:to>
      <xdr:col>3</xdr:col>
      <xdr:colOff>304800</xdr:colOff>
      <xdr:row>325</xdr:row>
      <xdr:rowOff>6350</xdr:rowOff>
    </xdr:to>
    <xdr:sp macro="" textlink="">
      <xdr:nvSpPr>
        <xdr:cNvPr id="1235" name="오른쪽으로 구부러진 화살표 123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319</xdr:row>
      <xdr:rowOff>0</xdr:rowOff>
    </xdr:from>
    <xdr:to>
      <xdr:col>3</xdr:col>
      <xdr:colOff>304800</xdr:colOff>
      <xdr:row>321</xdr:row>
      <xdr:rowOff>6350</xdr:rowOff>
    </xdr:to>
    <xdr:sp macro="" textlink="">
      <xdr:nvSpPr>
        <xdr:cNvPr id="1236" name="오른쪽으로 구부러진 화살표 123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321</xdr:row>
      <xdr:rowOff>0</xdr:rowOff>
    </xdr:from>
    <xdr:to>
      <xdr:col>3</xdr:col>
      <xdr:colOff>304800</xdr:colOff>
      <xdr:row>323</xdr:row>
      <xdr:rowOff>6350</xdr:rowOff>
    </xdr:to>
    <xdr:sp macro="" textlink="">
      <xdr:nvSpPr>
        <xdr:cNvPr id="1237" name="오른쪽으로 구부러진 화살표 123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323</xdr:row>
      <xdr:rowOff>0</xdr:rowOff>
    </xdr:from>
    <xdr:to>
      <xdr:col>3</xdr:col>
      <xdr:colOff>304800</xdr:colOff>
      <xdr:row>325</xdr:row>
      <xdr:rowOff>6350</xdr:rowOff>
    </xdr:to>
    <xdr:sp macro="" textlink="">
      <xdr:nvSpPr>
        <xdr:cNvPr id="1238" name="오른쪽으로 구부러진 화살표 123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318</xdr:row>
      <xdr:rowOff>76200</xdr:rowOff>
    </xdr:from>
    <xdr:to>
      <xdr:col>4</xdr:col>
      <xdr:colOff>0</xdr:colOff>
      <xdr:row>318</xdr:row>
      <xdr:rowOff>190500</xdr:rowOff>
    </xdr:to>
    <xdr:sp macro="" textlink="">
      <xdr:nvSpPr>
        <xdr:cNvPr id="1239" name="오른쪽 화살표 123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325</xdr:row>
      <xdr:rowOff>38100</xdr:rowOff>
    </xdr:from>
    <xdr:to>
      <xdr:col>3</xdr:col>
      <xdr:colOff>304800</xdr:colOff>
      <xdr:row>325</xdr:row>
      <xdr:rowOff>165100</xdr:rowOff>
    </xdr:to>
    <xdr:sp macro="" textlink="">
      <xdr:nvSpPr>
        <xdr:cNvPr id="1240" name="왼쪽 화살표 123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328</xdr:row>
      <xdr:rowOff>0</xdr:rowOff>
    </xdr:from>
    <xdr:to>
      <xdr:col>3</xdr:col>
      <xdr:colOff>304800</xdr:colOff>
      <xdr:row>330</xdr:row>
      <xdr:rowOff>6350</xdr:rowOff>
    </xdr:to>
    <xdr:sp macro="" textlink="">
      <xdr:nvSpPr>
        <xdr:cNvPr id="1241" name="오른쪽으로 구부러진 화살표 124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330</xdr:row>
      <xdr:rowOff>0</xdr:rowOff>
    </xdr:from>
    <xdr:to>
      <xdr:col>3</xdr:col>
      <xdr:colOff>304800</xdr:colOff>
      <xdr:row>332</xdr:row>
      <xdr:rowOff>6350</xdr:rowOff>
    </xdr:to>
    <xdr:sp macro="" textlink="">
      <xdr:nvSpPr>
        <xdr:cNvPr id="1242" name="오른쪽으로 구부러진 화살표 124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332</xdr:row>
      <xdr:rowOff>0</xdr:rowOff>
    </xdr:from>
    <xdr:to>
      <xdr:col>3</xdr:col>
      <xdr:colOff>304800</xdr:colOff>
      <xdr:row>334</xdr:row>
      <xdr:rowOff>6350</xdr:rowOff>
    </xdr:to>
    <xdr:sp macro="" textlink="">
      <xdr:nvSpPr>
        <xdr:cNvPr id="1243" name="오른쪽으로 구부러진 화살표 124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328</xdr:row>
      <xdr:rowOff>0</xdr:rowOff>
    </xdr:from>
    <xdr:to>
      <xdr:col>3</xdr:col>
      <xdr:colOff>304800</xdr:colOff>
      <xdr:row>330</xdr:row>
      <xdr:rowOff>6350</xdr:rowOff>
    </xdr:to>
    <xdr:sp macro="" textlink="">
      <xdr:nvSpPr>
        <xdr:cNvPr id="1244" name="오른쪽으로 구부러진 화살표 124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330</xdr:row>
      <xdr:rowOff>0</xdr:rowOff>
    </xdr:from>
    <xdr:to>
      <xdr:col>3</xdr:col>
      <xdr:colOff>304800</xdr:colOff>
      <xdr:row>332</xdr:row>
      <xdr:rowOff>6350</xdr:rowOff>
    </xdr:to>
    <xdr:sp macro="" textlink="">
      <xdr:nvSpPr>
        <xdr:cNvPr id="1245" name="오른쪽으로 구부러진 화살표 124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332</xdr:row>
      <xdr:rowOff>0</xdr:rowOff>
    </xdr:from>
    <xdr:to>
      <xdr:col>3</xdr:col>
      <xdr:colOff>304800</xdr:colOff>
      <xdr:row>334</xdr:row>
      <xdr:rowOff>6350</xdr:rowOff>
    </xdr:to>
    <xdr:sp macro="" textlink="">
      <xdr:nvSpPr>
        <xdr:cNvPr id="1246" name="오른쪽으로 구부러진 화살표 124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327</xdr:row>
      <xdr:rowOff>76200</xdr:rowOff>
    </xdr:from>
    <xdr:to>
      <xdr:col>4</xdr:col>
      <xdr:colOff>0</xdr:colOff>
      <xdr:row>327</xdr:row>
      <xdr:rowOff>190500</xdr:rowOff>
    </xdr:to>
    <xdr:sp macro="" textlink="">
      <xdr:nvSpPr>
        <xdr:cNvPr id="1247" name="오른쪽 화살표 124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334</xdr:row>
      <xdr:rowOff>38100</xdr:rowOff>
    </xdr:from>
    <xdr:to>
      <xdr:col>3</xdr:col>
      <xdr:colOff>304800</xdr:colOff>
      <xdr:row>334</xdr:row>
      <xdr:rowOff>165100</xdr:rowOff>
    </xdr:to>
    <xdr:sp macro="" textlink="">
      <xdr:nvSpPr>
        <xdr:cNvPr id="1248" name="왼쪽 화살표 124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337</xdr:row>
      <xdr:rowOff>0</xdr:rowOff>
    </xdr:from>
    <xdr:to>
      <xdr:col>3</xdr:col>
      <xdr:colOff>304800</xdr:colOff>
      <xdr:row>339</xdr:row>
      <xdr:rowOff>6350</xdr:rowOff>
    </xdr:to>
    <xdr:sp macro="" textlink="">
      <xdr:nvSpPr>
        <xdr:cNvPr id="1249" name="오른쪽으로 구부러진 화살표 124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339</xdr:row>
      <xdr:rowOff>0</xdr:rowOff>
    </xdr:from>
    <xdr:to>
      <xdr:col>3</xdr:col>
      <xdr:colOff>304800</xdr:colOff>
      <xdr:row>341</xdr:row>
      <xdr:rowOff>6350</xdr:rowOff>
    </xdr:to>
    <xdr:sp macro="" textlink="">
      <xdr:nvSpPr>
        <xdr:cNvPr id="1250" name="오른쪽으로 구부러진 화살표 124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341</xdr:row>
      <xdr:rowOff>0</xdr:rowOff>
    </xdr:from>
    <xdr:to>
      <xdr:col>3</xdr:col>
      <xdr:colOff>304800</xdr:colOff>
      <xdr:row>343</xdr:row>
      <xdr:rowOff>6350</xdr:rowOff>
    </xdr:to>
    <xdr:sp macro="" textlink="">
      <xdr:nvSpPr>
        <xdr:cNvPr id="1251" name="오른쪽으로 구부러진 화살표 125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337</xdr:row>
      <xdr:rowOff>0</xdr:rowOff>
    </xdr:from>
    <xdr:to>
      <xdr:col>3</xdr:col>
      <xdr:colOff>304800</xdr:colOff>
      <xdr:row>339</xdr:row>
      <xdr:rowOff>6350</xdr:rowOff>
    </xdr:to>
    <xdr:sp macro="" textlink="">
      <xdr:nvSpPr>
        <xdr:cNvPr id="1252" name="오른쪽으로 구부러진 화살표 125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339</xdr:row>
      <xdr:rowOff>0</xdr:rowOff>
    </xdr:from>
    <xdr:to>
      <xdr:col>3</xdr:col>
      <xdr:colOff>304800</xdr:colOff>
      <xdr:row>341</xdr:row>
      <xdr:rowOff>6350</xdr:rowOff>
    </xdr:to>
    <xdr:sp macro="" textlink="">
      <xdr:nvSpPr>
        <xdr:cNvPr id="1253" name="오른쪽으로 구부러진 화살표 125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341</xdr:row>
      <xdr:rowOff>0</xdr:rowOff>
    </xdr:from>
    <xdr:to>
      <xdr:col>3</xdr:col>
      <xdr:colOff>304800</xdr:colOff>
      <xdr:row>343</xdr:row>
      <xdr:rowOff>6350</xdr:rowOff>
    </xdr:to>
    <xdr:sp macro="" textlink="">
      <xdr:nvSpPr>
        <xdr:cNvPr id="1254" name="오른쪽으로 구부러진 화살표 125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336</xdr:row>
      <xdr:rowOff>76200</xdr:rowOff>
    </xdr:from>
    <xdr:to>
      <xdr:col>4</xdr:col>
      <xdr:colOff>0</xdr:colOff>
      <xdr:row>336</xdr:row>
      <xdr:rowOff>190500</xdr:rowOff>
    </xdr:to>
    <xdr:sp macro="" textlink="">
      <xdr:nvSpPr>
        <xdr:cNvPr id="1255" name="오른쪽 화살표 125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343</xdr:row>
      <xdr:rowOff>38100</xdr:rowOff>
    </xdr:from>
    <xdr:to>
      <xdr:col>3</xdr:col>
      <xdr:colOff>304800</xdr:colOff>
      <xdr:row>343</xdr:row>
      <xdr:rowOff>165100</xdr:rowOff>
    </xdr:to>
    <xdr:sp macro="" textlink="">
      <xdr:nvSpPr>
        <xdr:cNvPr id="1256" name="왼쪽 화살표 125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346</xdr:row>
      <xdr:rowOff>0</xdr:rowOff>
    </xdr:from>
    <xdr:to>
      <xdr:col>3</xdr:col>
      <xdr:colOff>304800</xdr:colOff>
      <xdr:row>348</xdr:row>
      <xdr:rowOff>6350</xdr:rowOff>
    </xdr:to>
    <xdr:sp macro="" textlink="">
      <xdr:nvSpPr>
        <xdr:cNvPr id="1257" name="오른쪽으로 구부러진 화살표 125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348</xdr:row>
      <xdr:rowOff>0</xdr:rowOff>
    </xdr:from>
    <xdr:to>
      <xdr:col>3</xdr:col>
      <xdr:colOff>304800</xdr:colOff>
      <xdr:row>350</xdr:row>
      <xdr:rowOff>6350</xdr:rowOff>
    </xdr:to>
    <xdr:sp macro="" textlink="">
      <xdr:nvSpPr>
        <xdr:cNvPr id="1258" name="오른쪽으로 구부러진 화살표 125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350</xdr:row>
      <xdr:rowOff>0</xdr:rowOff>
    </xdr:from>
    <xdr:to>
      <xdr:col>3</xdr:col>
      <xdr:colOff>304800</xdr:colOff>
      <xdr:row>352</xdr:row>
      <xdr:rowOff>6350</xdr:rowOff>
    </xdr:to>
    <xdr:sp macro="" textlink="">
      <xdr:nvSpPr>
        <xdr:cNvPr id="1259" name="오른쪽으로 구부러진 화살표 125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346</xdr:row>
      <xdr:rowOff>0</xdr:rowOff>
    </xdr:from>
    <xdr:to>
      <xdr:col>3</xdr:col>
      <xdr:colOff>304800</xdr:colOff>
      <xdr:row>348</xdr:row>
      <xdr:rowOff>6350</xdr:rowOff>
    </xdr:to>
    <xdr:sp macro="" textlink="">
      <xdr:nvSpPr>
        <xdr:cNvPr id="1260" name="오른쪽으로 구부러진 화살표 125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348</xdr:row>
      <xdr:rowOff>0</xdr:rowOff>
    </xdr:from>
    <xdr:to>
      <xdr:col>3</xdr:col>
      <xdr:colOff>304800</xdr:colOff>
      <xdr:row>350</xdr:row>
      <xdr:rowOff>6350</xdr:rowOff>
    </xdr:to>
    <xdr:sp macro="" textlink="">
      <xdr:nvSpPr>
        <xdr:cNvPr id="1261" name="오른쪽으로 구부러진 화살표 126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350</xdr:row>
      <xdr:rowOff>0</xdr:rowOff>
    </xdr:from>
    <xdr:to>
      <xdr:col>3</xdr:col>
      <xdr:colOff>304800</xdr:colOff>
      <xdr:row>352</xdr:row>
      <xdr:rowOff>6350</xdr:rowOff>
    </xdr:to>
    <xdr:sp macro="" textlink="">
      <xdr:nvSpPr>
        <xdr:cNvPr id="1262" name="오른쪽으로 구부러진 화살표 126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345</xdr:row>
      <xdr:rowOff>76200</xdr:rowOff>
    </xdr:from>
    <xdr:to>
      <xdr:col>4</xdr:col>
      <xdr:colOff>0</xdr:colOff>
      <xdr:row>345</xdr:row>
      <xdr:rowOff>190500</xdr:rowOff>
    </xdr:to>
    <xdr:sp macro="" textlink="">
      <xdr:nvSpPr>
        <xdr:cNvPr id="1263" name="오른쪽 화살표 126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352</xdr:row>
      <xdr:rowOff>38100</xdr:rowOff>
    </xdr:from>
    <xdr:to>
      <xdr:col>3</xdr:col>
      <xdr:colOff>304800</xdr:colOff>
      <xdr:row>352</xdr:row>
      <xdr:rowOff>165100</xdr:rowOff>
    </xdr:to>
    <xdr:sp macro="" textlink="">
      <xdr:nvSpPr>
        <xdr:cNvPr id="1264" name="왼쪽 화살표 126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355</xdr:row>
      <xdr:rowOff>0</xdr:rowOff>
    </xdr:from>
    <xdr:to>
      <xdr:col>3</xdr:col>
      <xdr:colOff>304800</xdr:colOff>
      <xdr:row>357</xdr:row>
      <xdr:rowOff>6350</xdr:rowOff>
    </xdr:to>
    <xdr:sp macro="" textlink="">
      <xdr:nvSpPr>
        <xdr:cNvPr id="1265" name="오른쪽으로 구부러진 화살표 126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357</xdr:row>
      <xdr:rowOff>0</xdr:rowOff>
    </xdr:from>
    <xdr:to>
      <xdr:col>3</xdr:col>
      <xdr:colOff>304800</xdr:colOff>
      <xdr:row>359</xdr:row>
      <xdr:rowOff>6350</xdr:rowOff>
    </xdr:to>
    <xdr:sp macro="" textlink="">
      <xdr:nvSpPr>
        <xdr:cNvPr id="1266" name="오른쪽으로 구부러진 화살표 126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359</xdr:row>
      <xdr:rowOff>0</xdr:rowOff>
    </xdr:from>
    <xdr:to>
      <xdr:col>3</xdr:col>
      <xdr:colOff>304800</xdr:colOff>
      <xdr:row>361</xdr:row>
      <xdr:rowOff>6350</xdr:rowOff>
    </xdr:to>
    <xdr:sp macro="" textlink="">
      <xdr:nvSpPr>
        <xdr:cNvPr id="1267" name="오른쪽으로 구부러진 화살표 126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355</xdr:row>
      <xdr:rowOff>0</xdr:rowOff>
    </xdr:from>
    <xdr:to>
      <xdr:col>3</xdr:col>
      <xdr:colOff>304800</xdr:colOff>
      <xdr:row>357</xdr:row>
      <xdr:rowOff>6350</xdr:rowOff>
    </xdr:to>
    <xdr:sp macro="" textlink="">
      <xdr:nvSpPr>
        <xdr:cNvPr id="1268" name="오른쪽으로 구부러진 화살표 126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357</xdr:row>
      <xdr:rowOff>0</xdr:rowOff>
    </xdr:from>
    <xdr:to>
      <xdr:col>3</xdr:col>
      <xdr:colOff>304800</xdr:colOff>
      <xdr:row>359</xdr:row>
      <xdr:rowOff>6350</xdr:rowOff>
    </xdr:to>
    <xdr:sp macro="" textlink="">
      <xdr:nvSpPr>
        <xdr:cNvPr id="1269" name="오른쪽으로 구부러진 화살표 126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359</xdr:row>
      <xdr:rowOff>0</xdr:rowOff>
    </xdr:from>
    <xdr:to>
      <xdr:col>3</xdr:col>
      <xdr:colOff>304800</xdr:colOff>
      <xdr:row>361</xdr:row>
      <xdr:rowOff>6350</xdr:rowOff>
    </xdr:to>
    <xdr:sp macro="" textlink="">
      <xdr:nvSpPr>
        <xdr:cNvPr id="1270" name="오른쪽으로 구부러진 화살표 126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354</xdr:row>
      <xdr:rowOff>76200</xdr:rowOff>
    </xdr:from>
    <xdr:to>
      <xdr:col>4</xdr:col>
      <xdr:colOff>0</xdr:colOff>
      <xdr:row>354</xdr:row>
      <xdr:rowOff>190500</xdr:rowOff>
    </xdr:to>
    <xdr:sp macro="" textlink="">
      <xdr:nvSpPr>
        <xdr:cNvPr id="1271" name="오른쪽 화살표 127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361</xdr:row>
      <xdr:rowOff>38100</xdr:rowOff>
    </xdr:from>
    <xdr:to>
      <xdr:col>3</xdr:col>
      <xdr:colOff>304800</xdr:colOff>
      <xdr:row>361</xdr:row>
      <xdr:rowOff>165100</xdr:rowOff>
    </xdr:to>
    <xdr:sp macro="" textlink="">
      <xdr:nvSpPr>
        <xdr:cNvPr id="1272" name="왼쪽 화살표 127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364</xdr:row>
      <xdr:rowOff>0</xdr:rowOff>
    </xdr:from>
    <xdr:to>
      <xdr:col>3</xdr:col>
      <xdr:colOff>304800</xdr:colOff>
      <xdr:row>366</xdr:row>
      <xdr:rowOff>6350</xdr:rowOff>
    </xdr:to>
    <xdr:sp macro="" textlink="">
      <xdr:nvSpPr>
        <xdr:cNvPr id="1273" name="오른쪽으로 구부러진 화살표 127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366</xdr:row>
      <xdr:rowOff>0</xdr:rowOff>
    </xdr:from>
    <xdr:to>
      <xdr:col>3</xdr:col>
      <xdr:colOff>304800</xdr:colOff>
      <xdr:row>368</xdr:row>
      <xdr:rowOff>6350</xdr:rowOff>
    </xdr:to>
    <xdr:sp macro="" textlink="">
      <xdr:nvSpPr>
        <xdr:cNvPr id="1274" name="오른쪽으로 구부러진 화살표 127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368</xdr:row>
      <xdr:rowOff>0</xdr:rowOff>
    </xdr:from>
    <xdr:to>
      <xdr:col>3</xdr:col>
      <xdr:colOff>304800</xdr:colOff>
      <xdr:row>370</xdr:row>
      <xdr:rowOff>6350</xdr:rowOff>
    </xdr:to>
    <xdr:sp macro="" textlink="">
      <xdr:nvSpPr>
        <xdr:cNvPr id="1275" name="오른쪽으로 구부러진 화살표 127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364</xdr:row>
      <xdr:rowOff>0</xdr:rowOff>
    </xdr:from>
    <xdr:to>
      <xdr:col>3</xdr:col>
      <xdr:colOff>304800</xdr:colOff>
      <xdr:row>366</xdr:row>
      <xdr:rowOff>6350</xdr:rowOff>
    </xdr:to>
    <xdr:sp macro="" textlink="">
      <xdr:nvSpPr>
        <xdr:cNvPr id="1276" name="오른쪽으로 구부러진 화살표 127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366</xdr:row>
      <xdr:rowOff>0</xdr:rowOff>
    </xdr:from>
    <xdr:to>
      <xdr:col>3</xdr:col>
      <xdr:colOff>304800</xdr:colOff>
      <xdr:row>368</xdr:row>
      <xdr:rowOff>6350</xdr:rowOff>
    </xdr:to>
    <xdr:sp macro="" textlink="">
      <xdr:nvSpPr>
        <xdr:cNvPr id="1277" name="오른쪽으로 구부러진 화살표 127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368</xdr:row>
      <xdr:rowOff>0</xdr:rowOff>
    </xdr:from>
    <xdr:to>
      <xdr:col>3</xdr:col>
      <xdr:colOff>304800</xdr:colOff>
      <xdr:row>370</xdr:row>
      <xdr:rowOff>6350</xdr:rowOff>
    </xdr:to>
    <xdr:sp macro="" textlink="">
      <xdr:nvSpPr>
        <xdr:cNvPr id="1278" name="오른쪽으로 구부러진 화살표 127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363</xdr:row>
      <xdr:rowOff>76200</xdr:rowOff>
    </xdr:from>
    <xdr:to>
      <xdr:col>4</xdr:col>
      <xdr:colOff>0</xdr:colOff>
      <xdr:row>363</xdr:row>
      <xdr:rowOff>190500</xdr:rowOff>
    </xdr:to>
    <xdr:sp macro="" textlink="">
      <xdr:nvSpPr>
        <xdr:cNvPr id="1279" name="오른쪽 화살표 127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370</xdr:row>
      <xdr:rowOff>38100</xdr:rowOff>
    </xdr:from>
    <xdr:to>
      <xdr:col>3</xdr:col>
      <xdr:colOff>304800</xdr:colOff>
      <xdr:row>370</xdr:row>
      <xdr:rowOff>165100</xdr:rowOff>
    </xdr:to>
    <xdr:sp macro="" textlink="">
      <xdr:nvSpPr>
        <xdr:cNvPr id="1280" name="왼쪽 화살표 127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373</xdr:row>
      <xdr:rowOff>0</xdr:rowOff>
    </xdr:from>
    <xdr:to>
      <xdr:col>3</xdr:col>
      <xdr:colOff>304800</xdr:colOff>
      <xdr:row>375</xdr:row>
      <xdr:rowOff>6350</xdr:rowOff>
    </xdr:to>
    <xdr:sp macro="" textlink="">
      <xdr:nvSpPr>
        <xdr:cNvPr id="1281" name="오른쪽으로 구부러진 화살표 128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375</xdr:row>
      <xdr:rowOff>0</xdr:rowOff>
    </xdr:from>
    <xdr:to>
      <xdr:col>3</xdr:col>
      <xdr:colOff>304800</xdr:colOff>
      <xdr:row>377</xdr:row>
      <xdr:rowOff>6350</xdr:rowOff>
    </xdr:to>
    <xdr:sp macro="" textlink="">
      <xdr:nvSpPr>
        <xdr:cNvPr id="1282" name="오른쪽으로 구부러진 화살표 128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377</xdr:row>
      <xdr:rowOff>0</xdr:rowOff>
    </xdr:from>
    <xdr:to>
      <xdr:col>3</xdr:col>
      <xdr:colOff>304800</xdr:colOff>
      <xdr:row>379</xdr:row>
      <xdr:rowOff>6350</xdr:rowOff>
    </xdr:to>
    <xdr:sp macro="" textlink="">
      <xdr:nvSpPr>
        <xdr:cNvPr id="1283" name="오른쪽으로 구부러진 화살표 128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373</xdr:row>
      <xdr:rowOff>0</xdr:rowOff>
    </xdr:from>
    <xdr:to>
      <xdr:col>3</xdr:col>
      <xdr:colOff>304800</xdr:colOff>
      <xdr:row>375</xdr:row>
      <xdr:rowOff>6350</xdr:rowOff>
    </xdr:to>
    <xdr:sp macro="" textlink="">
      <xdr:nvSpPr>
        <xdr:cNvPr id="1284" name="오른쪽으로 구부러진 화살표 128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375</xdr:row>
      <xdr:rowOff>0</xdr:rowOff>
    </xdr:from>
    <xdr:to>
      <xdr:col>3</xdr:col>
      <xdr:colOff>304800</xdr:colOff>
      <xdr:row>377</xdr:row>
      <xdr:rowOff>6350</xdr:rowOff>
    </xdr:to>
    <xdr:sp macro="" textlink="">
      <xdr:nvSpPr>
        <xdr:cNvPr id="1285" name="오른쪽으로 구부러진 화살표 128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377</xdr:row>
      <xdr:rowOff>0</xdr:rowOff>
    </xdr:from>
    <xdr:to>
      <xdr:col>3</xdr:col>
      <xdr:colOff>304800</xdr:colOff>
      <xdr:row>379</xdr:row>
      <xdr:rowOff>6350</xdr:rowOff>
    </xdr:to>
    <xdr:sp macro="" textlink="">
      <xdr:nvSpPr>
        <xdr:cNvPr id="1286" name="오른쪽으로 구부러진 화살표 128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372</xdr:row>
      <xdr:rowOff>76200</xdr:rowOff>
    </xdr:from>
    <xdr:to>
      <xdr:col>4</xdr:col>
      <xdr:colOff>0</xdr:colOff>
      <xdr:row>372</xdr:row>
      <xdr:rowOff>190500</xdr:rowOff>
    </xdr:to>
    <xdr:sp macro="" textlink="">
      <xdr:nvSpPr>
        <xdr:cNvPr id="1287" name="오른쪽 화살표 128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379</xdr:row>
      <xdr:rowOff>38100</xdr:rowOff>
    </xdr:from>
    <xdr:to>
      <xdr:col>3</xdr:col>
      <xdr:colOff>304800</xdr:colOff>
      <xdr:row>379</xdr:row>
      <xdr:rowOff>165100</xdr:rowOff>
    </xdr:to>
    <xdr:sp macro="" textlink="">
      <xdr:nvSpPr>
        <xdr:cNvPr id="1288" name="왼쪽 화살표 128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382</xdr:row>
      <xdr:rowOff>0</xdr:rowOff>
    </xdr:from>
    <xdr:to>
      <xdr:col>3</xdr:col>
      <xdr:colOff>304800</xdr:colOff>
      <xdr:row>384</xdr:row>
      <xdr:rowOff>6350</xdr:rowOff>
    </xdr:to>
    <xdr:sp macro="" textlink="">
      <xdr:nvSpPr>
        <xdr:cNvPr id="1289" name="오른쪽으로 구부러진 화살표 128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384</xdr:row>
      <xdr:rowOff>0</xdr:rowOff>
    </xdr:from>
    <xdr:to>
      <xdr:col>3</xdr:col>
      <xdr:colOff>304800</xdr:colOff>
      <xdr:row>386</xdr:row>
      <xdr:rowOff>6350</xdr:rowOff>
    </xdr:to>
    <xdr:sp macro="" textlink="">
      <xdr:nvSpPr>
        <xdr:cNvPr id="1290" name="오른쪽으로 구부러진 화살표 128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386</xdr:row>
      <xdr:rowOff>0</xdr:rowOff>
    </xdr:from>
    <xdr:to>
      <xdr:col>3</xdr:col>
      <xdr:colOff>304800</xdr:colOff>
      <xdr:row>388</xdr:row>
      <xdr:rowOff>6350</xdr:rowOff>
    </xdr:to>
    <xdr:sp macro="" textlink="">
      <xdr:nvSpPr>
        <xdr:cNvPr id="1291" name="오른쪽으로 구부러진 화살표 129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382</xdr:row>
      <xdr:rowOff>0</xdr:rowOff>
    </xdr:from>
    <xdr:to>
      <xdr:col>3</xdr:col>
      <xdr:colOff>304800</xdr:colOff>
      <xdr:row>384</xdr:row>
      <xdr:rowOff>6350</xdr:rowOff>
    </xdr:to>
    <xdr:sp macro="" textlink="">
      <xdr:nvSpPr>
        <xdr:cNvPr id="1292" name="오른쪽으로 구부러진 화살표 129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384</xdr:row>
      <xdr:rowOff>0</xdr:rowOff>
    </xdr:from>
    <xdr:to>
      <xdr:col>3</xdr:col>
      <xdr:colOff>304800</xdr:colOff>
      <xdr:row>386</xdr:row>
      <xdr:rowOff>6350</xdr:rowOff>
    </xdr:to>
    <xdr:sp macro="" textlink="">
      <xdr:nvSpPr>
        <xdr:cNvPr id="1293" name="오른쪽으로 구부러진 화살표 129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386</xdr:row>
      <xdr:rowOff>0</xdr:rowOff>
    </xdr:from>
    <xdr:to>
      <xdr:col>3</xdr:col>
      <xdr:colOff>304800</xdr:colOff>
      <xdr:row>388</xdr:row>
      <xdr:rowOff>6350</xdr:rowOff>
    </xdr:to>
    <xdr:sp macro="" textlink="">
      <xdr:nvSpPr>
        <xdr:cNvPr id="1294" name="오른쪽으로 구부러진 화살표 129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381</xdr:row>
      <xdr:rowOff>76200</xdr:rowOff>
    </xdr:from>
    <xdr:to>
      <xdr:col>4</xdr:col>
      <xdr:colOff>0</xdr:colOff>
      <xdr:row>381</xdr:row>
      <xdr:rowOff>190500</xdr:rowOff>
    </xdr:to>
    <xdr:sp macro="" textlink="">
      <xdr:nvSpPr>
        <xdr:cNvPr id="1295" name="오른쪽 화살표 129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388</xdr:row>
      <xdr:rowOff>38100</xdr:rowOff>
    </xdr:from>
    <xdr:to>
      <xdr:col>3</xdr:col>
      <xdr:colOff>304800</xdr:colOff>
      <xdr:row>388</xdr:row>
      <xdr:rowOff>165100</xdr:rowOff>
    </xdr:to>
    <xdr:sp macro="" textlink="">
      <xdr:nvSpPr>
        <xdr:cNvPr id="1296" name="왼쪽 화살표 129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391</xdr:row>
      <xdr:rowOff>0</xdr:rowOff>
    </xdr:from>
    <xdr:to>
      <xdr:col>3</xdr:col>
      <xdr:colOff>304800</xdr:colOff>
      <xdr:row>393</xdr:row>
      <xdr:rowOff>6350</xdr:rowOff>
    </xdr:to>
    <xdr:sp macro="" textlink="">
      <xdr:nvSpPr>
        <xdr:cNvPr id="1297" name="오른쪽으로 구부러진 화살표 129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393</xdr:row>
      <xdr:rowOff>0</xdr:rowOff>
    </xdr:from>
    <xdr:to>
      <xdr:col>3</xdr:col>
      <xdr:colOff>304800</xdr:colOff>
      <xdr:row>395</xdr:row>
      <xdr:rowOff>6350</xdr:rowOff>
    </xdr:to>
    <xdr:sp macro="" textlink="">
      <xdr:nvSpPr>
        <xdr:cNvPr id="1298" name="오른쪽으로 구부러진 화살표 129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395</xdr:row>
      <xdr:rowOff>0</xdr:rowOff>
    </xdr:from>
    <xdr:to>
      <xdr:col>3</xdr:col>
      <xdr:colOff>304800</xdr:colOff>
      <xdr:row>397</xdr:row>
      <xdr:rowOff>6350</xdr:rowOff>
    </xdr:to>
    <xdr:sp macro="" textlink="">
      <xdr:nvSpPr>
        <xdr:cNvPr id="1299" name="오른쪽으로 구부러진 화살표 129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391</xdr:row>
      <xdr:rowOff>0</xdr:rowOff>
    </xdr:from>
    <xdr:to>
      <xdr:col>3</xdr:col>
      <xdr:colOff>304800</xdr:colOff>
      <xdr:row>393</xdr:row>
      <xdr:rowOff>6350</xdr:rowOff>
    </xdr:to>
    <xdr:sp macro="" textlink="">
      <xdr:nvSpPr>
        <xdr:cNvPr id="1300" name="오른쪽으로 구부러진 화살표 129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393</xdr:row>
      <xdr:rowOff>0</xdr:rowOff>
    </xdr:from>
    <xdr:to>
      <xdr:col>3</xdr:col>
      <xdr:colOff>304800</xdr:colOff>
      <xdr:row>395</xdr:row>
      <xdr:rowOff>6350</xdr:rowOff>
    </xdr:to>
    <xdr:sp macro="" textlink="">
      <xdr:nvSpPr>
        <xdr:cNvPr id="1301" name="오른쪽으로 구부러진 화살표 130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395</xdr:row>
      <xdr:rowOff>0</xdr:rowOff>
    </xdr:from>
    <xdr:to>
      <xdr:col>3</xdr:col>
      <xdr:colOff>304800</xdr:colOff>
      <xdr:row>397</xdr:row>
      <xdr:rowOff>6350</xdr:rowOff>
    </xdr:to>
    <xdr:sp macro="" textlink="">
      <xdr:nvSpPr>
        <xdr:cNvPr id="1302" name="오른쪽으로 구부러진 화살표 130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390</xdr:row>
      <xdr:rowOff>76200</xdr:rowOff>
    </xdr:from>
    <xdr:to>
      <xdr:col>4</xdr:col>
      <xdr:colOff>0</xdr:colOff>
      <xdr:row>390</xdr:row>
      <xdr:rowOff>190500</xdr:rowOff>
    </xdr:to>
    <xdr:sp macro="" textlink="">
      <xdr:nvSpPr>
        <xdr:cNvPr id="1303" name="오른쪽 화살표 130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397</xdr:row>
      <xdr:rowOff>38100</xdr:rowOff>
    </xdr:from>
    <xdr:to>
      <xdr:col>3</xdr:col>
      <xdr:colOff>304800</xdr:colOff>
      <xdr:row>397</xdr:row>
      <xdr:rowOff>165100</xdr:rowOff>
    </xdr:to>
    <xdr:sp macro="" textlink="">
      <xdr:nvSpPr>
        <xdr:cNvPr id="1304" name="왼쪽 화살표 130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400</xdr:row>
      <xdr:rowOff>0</xdr:rowOff>
    </xdr:from>
    <xdr:to>
      <xdr:col>3</xdr:col>
      <xdr:colOff>304800</xdr:colOff>
      <xdr:row>402</xdr:row>
      <xdr:rowOff>6350</xdr:rowOff>
    </xdr:to>
    <xdr:sp macro="" textlink="">
      <xdr:nvSpPr>
        <xdr:cNvPr id="1305" name="오른쪽으로 구부러진 화살표 130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402</xdr:row>
      <xdr:rowOff>0</xdr:rowOff>
    </xdr:from>
    <xdr:to>
      <xdr:col>3</xdr:col>
      <xdr:colOff>304800</xdr:colOff>
      <xdr:row>404</xdr:row>
      <xdr:rowOff>6350</xdr:rowOff>
    </xdr:to>
    <xdr:sp macro="" textlink="">
      <xdr:nvSpPr>
        <xdr:cNvPr id="1306" name="오른쪽으로 구부러진 화살표 130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404</xdr:row>
      <xdr:rowOff>0</xdr:rowOff>
    </xdr:from>
    <xdr:to>
      <xdr:col>3</xdr:col>
      <xdr:colOff>304800</xdr:colOff>
      <xdr:row>406</xdr:row>
      <xdr:rowOff>6350</xdr:rowOff>
    </xdr:to>
    <xdr:sp macro="" textlink="">
      <xdr:nvSpPr>
        <xdr:cNvPr id="1307" name="오른쪽으로 구부러진 화살표 130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400</xdr:row>
      <xdr:rowOff>0</xdr:rowOff>
    </xdr:from>
    <xdr:to>
      <xdr:col>3</xdr:col>
      <xdr:colOff>304800</xdr:colOff>
      <xdr:row>402</xdr:row>
      <xdr:rowOff>6350</xdr:rowOff>
    </xdr:to>
    <xdr:sp macro="" textlink="">
      <xdr:nvSpPr>
        <xdr:cNvPr id="1308" name="오른쪽으로 구부러진 화살표 130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402</xdr:row>
      <xdr:rowOff>0</xdr:rowOff>
    </xdr:from>
    <xdr:to>
      <xdr:col>3</xdr:col>
      <xdr:colOff>304800</xdr:colOff>
      <xdr:row>404</xdr:row>
      <xdr:rowOff>6350</xdr:rowOff>
    </xdr:to>
    <xdr:sp macro="" textlink="">
      <xdr:nvSpPr>
        <xdr:cNvPr id="1309" name="오른쪽으로 구부러진 화살표 130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404</xdr:row>
      <xdr:rowOff>0</xdr:rowOff>
    </xdr:from>
    <xdr:to>
      <xdr:col>3</xdr:col>
      <xdr:colOff>304800</xdr:colOff>
      <xdr:row>406</xdr:row>
      <xdr:rowOff>6350</xdr:rowOff>
    </xdr:to>
    <xdr:sp macro="" textlink="">
      <xdr:nvSpPr>
        <xdr:cNvPr id="1310" name="오른쪽으로 구부러진 화살표 130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399</xdr:row>
      <xdr:rowOff>76200</xdr:rowOff>
    </xdr:from>
    <xdr:to>
      <xdr:col>4</xdr:col>
      <xdr:colOff>0</xdr:colOff>
      <xdr:row>399</xdr:row>
      <xdr:rowOff>190500</xdr:rowOff>
    </xdr:to>
    <xdr:sp macro="" textlink="">
      <xdr:nvSpPr>
        <xdr:cNvPr id="1311" name="오른쪽 화살표 131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406</xdr:row>
      <xdr:rowOff>38100</xdr:rowOff>
    </xdr:from>
    <xdr:to>
      <xdr:col>3</xdr:col>
      <xdr:colOff>304800</xdr:colOff>
      <xdr:row>406</xdr:row>
      <xdr:rowOff>165100</xdr:rowOff>
    </xdr:to>
    <xdr:sp macro="" textlink="">
      <xdr:nvSpPr>
        <xdr:cNvPr id="1312" name="왼쪽 화살표 131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409</xdr:row>
      <xdr:rowOff>0</xdr:rowOff>
    </xdr:from>
    <xdr:to>
      <xdr:col>3</xdr:col>
      <xdr:colOff>304800</xdr:colOff>
      <xdr:row>411</xdr:row>
      <xdr:rowOff>6350</xdr:rowOff>
    </xdr:to>
    <xdr:sp macro="" textlink="">
      <xdr:nvSpPr>
        <xdr:cNvPr id="1313" name="오른쪽으로 구부러진 화살표 131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411</xdr:row>
      <xdr:rowOff>0</xdr:rowOff>
    </xdr:from>
    <xdr:to>
      <xdr:col>3</xdr:col>
      <xdr:colOff>304800</xdr:colOff>
      <xdr:row>413</xdr:row>
      <xdr:rowOff>6350</xdr:rowOff>
    </xdr:to>
    <xdr:sp macro="" textlink="">
      <xdr:nvSpPr>
        <xdr:cNvPr id="1314" name="오른쪽으로 구부러진 화살표 131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413</xdr:row>
      <xdr:rowOff>0</xdr:rowOff>
    </xdr:from>
    <xdr:to>
      <xdr:col>3</xdr:col>
      <xdr:colOff>304800</xdr:colOff>
      <xdr:row>415</xdr:row>
      <xdr:rowOff>6350</xdr:rowOff>
    </xdr:to>
    <xdr:sp macro="" textlink="">
      <xdr:nvSpPr>
        <xdr:cNvPr id="1315" name="오른쪽으로 구부러진 화살표 131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409</xdr:row>
      <xdr:rowOff>0</xdr:rowOff>
    </xdr:from>
    <xdr:to>
      <xdr:col>3</xdr:col>
      <xdr:colOff>304800</xdr:colOff>
      <xdr:row>411</xdr:row>
      <xdr:rowOff>6350</xdr:rowOff>
    </xdr:to>
    <xdr:sp macro="" textlink="">
      <xdr:nvSpPr>
        <xdr:cNvPr id="1316" name="오른쪽으로 구부러진 화살표 131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411</xdr:row>
      <xdr:rowOff>0</xdr:rowOff>
    </xdr:from>
    <xdr:to>
      <xdr:col>3</xdr:col>
      <xdr:colOff>304800</xdr:colOff>
      <xdr:row>413</xdr:row>
      <xdr:rowOff>6350</xdr:rowOff>
    </xdr:to>
    <xdr:sp macro="" textlink="">
      <xdr:nvSpPr>
        <xdr:cNvPr id="1317" name="오른쪽으로 구부러진 화살표 131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413</xdr:row>
      <xdr:rowOff>0</xdr:rowOff>
    </xdr:from>
    <xdr:to>
      <xdr:col>3</xdr:col>
      <xdr:colOff>304800</xdr:colOff>
      <xdr:row>415</xdr:row>
      <xdr:rowOff>6350</xdr:rowOff>
    </xdr:to>
    <xdr:sp macro="" textlink="">
      <xdr:nvSpPr>
        <xdr:cNvPr id="1318" name="오른쪽으로 구부러진 화살표 131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408</xdr:row>
      <xdr:rowOff>76200</xdr:rowOff>
    </xdr:from>
    <xdr:to>
      <xdr:col>4</xdr:col>
      <xdr:colOff>0</xdr:colOff>
      <xdr:row>408</xdr:row>
      <xdr:rowOff>190500</xdr:rowOff>
    </xdr:to>
    <xdr:sp macro="" textlink="">
      <xdr:nvSpPr>
        <xdr:cNvPr id="1319" name="오른쪽 화살표 131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415</xdr:row>
      <xdr:rowOff>38100</xdr:rowOff>
    </xdr:from>
    <xdr:to>
      <xdr:col>3</xdr:col>
      <xdr:colOff>304800</xdr:colOff>
      <xdr:row>415</xdr:row>
      <xdr:rowOff>165100</xdr:rowOff>
    </xdr:to>
    <xdr:sp macro="" textlink="">
      <xdr:nvSpPr>
        <xdr:cNvPr id="1320" name="왼쪽 화살표 131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418</xdr:row>
      <xdr:rowOff>0</xdr:rowOff>
    </xdr:from>
    <xdr:to>
      <xdr:col>3</xdr:col>
      <xdr:colOff>304800</xdr:colOff>
      <xdr:row>420</xdr:row>
      <xdr:rowOff>6350</xdr:rowOff>
    </xdr:to>
    <xdr:sp macro="" textlink="">
      <xdr:nvSpPr>
        <xdr:cNvPr id="1321" name="오른쪽으로 구부러진 화살표 132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420</xdr:row>
      <xdr:rowOff>0</xdr:rowOff>
    </xdr:from>
    <xdr:to>
      <xdr:col>3</xdr:col>
      <xdr:colOff>304800</xdr:colOff>
      <xdr:row>422</xdr:row>
      <xdr:rowOff>6350</xdr:rowOff>
    </xdr:to>
    <xdr:sp macro="" textlink="">
      <xdr:nvSpPr>
        <xdr:cNvPr id="1322" name="오른쪽으로 구부러진 화살표 132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422</xdr:row>
      <xdr:rowOff>0</xdr:rowOff>
    </xdr:from>
    <xdr:to>
      <xdr:col>3</xdr:col>
      <xdr:colOff>304800</xdr:colOff>
      <xdr:row>424</xdr:row>
      <xdr:rowOff>6350</xdr:rowOff>
    </xdr:to>
    <xdr:sp macro="" textlink="">
      <xdr:nvSpPr>
        <xdr:cNvPr id="1323" name="오른쪽으로 구부러진 화살표 132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418</xdr:row>
      <xdr:rowOff>0</xdr:rowOff>
    </xdr:from>
    <xdr:to>
      <xdr:col>3</xdr:col>
      <xdr:colOff>304800</xdr:colOff>
      <xdr:row>420</xdr:row>
      <xdr:rowOff>6350</xdr:rowOff>
    </xdr:to>
    <xdr:sp macro="" textlink="">
      <xdr:nvSpPr>
        <xdr:cNvPr id="1324" name="오른쪽으로 구부러진 화살표 132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420</xdr:row>
      <xdr:rowOff>0</xdr:rowOff>
    </xdr:from>
    <xdr:to>
      <xdr:col>3</xdr:col>
      <xdr:colOff>304800</xdr:colOff>
      <xdr:row>422</xdr:row>
      <xdr:rowOff>6350</xdr:rowOff>
    </xdr:to>
    <xdr:sp macro="" textlink="">
      <xdr:nvSpPr>
        <xdr:cNvPr id="1325" name="오른쪽으로 구부러진 화살표 132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422</xdr:row>
      <xdr:rowOff>0</xdr:rowOff>
    </xdr:from>
    <xdr:to>
      <xdr:col>3</xdr:col>
      <xdr:colOff>304800</xdr:colOff>
      <xdr:row>424</xdr:row>
      <xdr:rowOff>6350</xdr:rowOff>
    </xdr:to>
    <xdr:sp macro="" textlink="">
      <xdr:nvSpPr>
        <xdr:cNvPr id="1326" name="오른쪽으로 구부러진 화살표 132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417</xdr:row>
      <xdr:rowOff>76200</xdr:rowOff>
    </xdr:from>
    <xdr:to>
      <xdr:col>4</xdr:col>
      <xdr:colOff>0</xdr:colOff>
      <xdr:row>417</xdr:row>
      <xdr:rowOff>190500</xdr:rowOff>
    </xdr:to>
    <xdr:sp macro="" textlink="">
      <xdr:nvSpPr>
        <xdr:cNvPr id="1327" name="오른쪽 화살표 132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424</xdr:row>
      <xdr:rowOff>38100</xdr:rowOff>
    </xdr:from>
    <xdr:to>
      <xdr:col>3</xdr:col>
      <xdr:colOff>304800</xdr:colOff>
      <xdr:row>424</xdr:row>
      <xdr:rowOff>165100</xdr:rowOff>
    </xdr:to>
    <xdr:sp macro="" textlink="">
      <xdr:nvSpPr>
        <xdr:cNvPr id="1328" name="왼쪽 화살표 132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427</xdr:row>
      <xdr:rowOff>0</xdr:rowOff>
    </xdr:from>
    <xdr:to>
      <xdr:col>3</xdr:col>
      <xdr:colOff>304800</xdr:colOff>
      <xdr:row>429</xdr:row>
      <xdr:rowOff>6350</xdr:rowOff>
    </xdr:to>
    <xdr:sp macro="" textlink="">
      <xdr:nvSpPr>
        <xdr:cNvPr id="1329" name="오른쪽으로 구부러진 화살표 132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429</xdr:row>
      <xdr:rowOff>0</xdr:rowOff>
    </xdr:from>
    <xdr:to>
      <xdr:col>3</xdr:col>
      <xdr:colOff>304800</xdr:colOff>
      <xdr:row>431</xdr:row>
      <xdr:rowOff>6350</xdr:rowOff>
    </xdr:to>
    <xdr:sp macro="" textlink="">
      <xdr:nvSpPr>
        <xdr:cNvPr id="1330" name="오른쪽으로 구부러진 화살표 132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431</xdr:row>
      <xdr:rowOff>0</xdr:rowOff>
    </xdr:from>
    <xdr:to>
      <xdr:col>3</xdr:col>
      <xdr:colOff>304800</xdr:colOff>
      <xdr:row>433</xdr:row>
      <xdr:rowOff>6350</xdr:rowOff>
    </xdr:to>
    <xdr:sp macro="" textlink="">
      <xdr:nvSpPr>
        <xdr:cNvPr id="1331" name="오른쪽으로 구부러진 화살표 133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427</xdr:row>
      <xdr:rowOff>0</xdr:rowOff>
    </xdr:from>
    <xdr:to>
      <xdr:col>3</xdr:col>
      <xdr:colOff>304800</xdr:colOff>
      <xdr:row>429</xdr:row>
      <xdr:rowOff>6350</xdr:rowOff>
    </xdr:to>
    <xdr:sp macro="" textlink="">
      <xdr:nvSpPr>
        <xdr:cNvPr id="1332" name="오른쪽으로 구부러진 화살표 133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429</xdr:row>
      <xdr:rowOff>0</xdr:rowOff>
    </xdr:from>
    <xdr:to>
      <xdr:col>3</xdr:col>
      <xdr:colOff>304800</xdr:colOff>
      <xdr:row>431</xdr:row>
      <xdr:rowOff>6350</xdr:rowOff>
    </xdr:to>
    <xdr:sp macro="" textlink="">
      <xdr:nvSpPr>
        <xdr:cNvPr id="1333" name="오른쪽으로 구부러진 화살표 133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431</xdr:row>
      <xdr:rowOff>0</xdr:rowOff>
    </xdr:from>
    <xdr:to>
      <xdr:col>3</xdr:col>
      <xdr:colOff>304800</xdr:colOff>
      <xdr:row>433</xdr:row>
      <xdr:rowOff>6350</xdr:rowOff>
    </xdr:to>
    <xdr:sp macro="" textlink="">
      <xdr:nvSpPr>
        <xdr:cNvPr id="1334" name="오른쪽으로 구부러진 화살표 133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426</xdr:row>
      <xdr:rowOff>76200</xdr:rowOff>
    </xdr:from>
    <xdr:to>
      <xdr:col>4</xdr:col>
      <xdr:colOff>0</xdr:colOff>
      <xdr:row>426</xdr:row>
      <xdr:rowOff>190500</xdr:rowOff>
    </xdr:to>
    <xdr:sp macro="" textlink="">
      <xdr:nvSpPr>
        <xdr:cNvPr id="1335" name="오른쪽 화살표 133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433</xdr:row>
      <xdr:rowOff>38100</xdr:rowOff>
    </xdr:from>
    <xdr:to>
      <xdr:col>3</xdr:col>
      <xdr:colOff>304800</xdr:colOff>
      <xdr:row>433</xdr:row>
      <xdr:rowOff>165100</xdr:rowOff>
    </xdr:to>
    <xdr:sp macro="" textlink="">
      <xdr:nvSpPr>
        <xdr:cNvPr id="1336" name="왼쪽 화살표 133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436</xdr:row>
      <xdr:rowOff>0</xdr:rowOff>
    </xdr:from>
    <xdr:to>
      <xdr:col>3</xdr:col>
      <xdr:colOff>304800</xdr:colOff>
      <xdr:row>438</xdr:row>
      <xdr:rowOff>6350</xdr:rowOff>
    </xdr:to>
    <xdr:sp macro="" textlink="">
      <xdr:nvSpPr>
        <xdr:cNvPr id="1337" name="오른쪽으로 구부러진 화살표 133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438</xdr:row>
      <xdr:rowOff>0</xdr:rowOff>
    </xdr:from>
    <xdr:to>
      <xdr:col>3</xdr:col>
      <xdr:colOff>304800</xdr:colOff>
      <xdr:row>440</xdr:row>
      <xdr:rowOff>6350</xdr:rowOff>
    </xdr:to>
    <xdr:sp macro="" textlink="">
      <xdr:nvSpPr>
        <xdr:cNvPr id="1338" name="오른쪽으로 구부러진 화살표 133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440</xdr:row>
      <xdr:rowOff>0</xdr:rowOff>
    </xdr:from>
    <xdr:to>
      <xdr:col>3</xdr:col>
      <xdr:colOff>304800</xdr:colOff>
      <xdr:row>442</xdr:row>
      <xdr:rowOff>6350</xdr:rowOff>
    </xdr:to>
    <xdr:sp macro="" textlink="">
      <xdr:nvSpPr>
        <xdr:cNvPr id="1339" name="오른쪽으로 구부러진 화살표 133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436</xdr:row>
      <xdr:rowOff>0</xdr:rowOff>
    </xdr:from>
    <xdr:to>
      <xdr:col>3</xdr:col>
      <xdr:colOff>304800</xdr:colOff>
      <xdr:row>438</xdr:row>
      <xdr:rowOff>6350</xdr:rowOff>
    </xdr:to>
    <xdr:sp macro="" textlink="">
      <xdr:nvSpPr>
        <xdr:cNvPr id="1340" name="오른쪽으로 구부러진 화살표 133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438</xdr:row>
      <xdr:rowOff>0</xdr:rowOff>
    </xdr:from>
    <xdr:to>
      <xdr:col>3</xdr:col>
      <xdr:colOff>304800</xdr:colOff>
      <xdr:row>440</xdr:row>
      <xdr:rowOff>6350</xdr:rowOff>
    </xdr:to>
    <xdr:sp macro="" textlink="">
      <xdr:nvSpPr>
        <xdr:cNvPr id="1341" name="오른쪽으로 구부러진 화살표 134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440</xdr:row>
      <xdr:rowOff>0</xdr:rowOff>
    </xdr:from>
    <xdr:to>
      <xdr:col>3</xdr:col>
      <xdr:colOff>304800</xdr:colOff>
      <xdr:row>442</xdr:row>
      <xdr:rowOff>6350</xdr:rowOff>
    </xdr:to>
    <xdr:sp macro="" textlink="">
      <xdr:nvSpPr>
        <xdr:cNvPr id="1342" name="오른쪽으로 구부러진 화살표 134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435</xdr:row>
      <xdr:rowOff>76200</xdr:rowOff>
    </xdr:from>
    <xdr:to>
      <xdr:col>4</xdr:col>
      <xdr:colOff>0</xdr:colOff>
      <xdr:row>435</xdr:row>
      <xdr:rowOff>190500</xdr:rowOff>
    </xdr:to>
    <xdr:sp macro="" textlink="">
      <xdr:nvSpPr>
        <xdr:cNvPr id="1343" name="오른쪽 화살표 134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442</xdr:row>
      <xdr:rowOff>38100</xdr:rowOff>
    </xdr:from>
    <xdr:to>
      <xdr:col>3</xdr:col>
      <xdr:colOff>304800</xdr:colOff>
      <xdr:row>442</xdr:row>
      <xdr:rowOff>165100</xdr:rowOff>
    </xdr:to>
    <xdr:sp macro="" textlink="">
      <xdr:nvSpPr>
        <xdr:cNvPr id="1344" name="왼쪽 화살표 134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445</xdr:row>
      <xdr:rowOff>0</xdr:rowOff>
    </xdr:from>
    <xdr:to>
      <xdr:col>3</xdr:col>
      <xdr:colOff>304800</xdr:colOff>
      <xdr:row>447</xdr:row>
      <xdr:rowOff>6350</xdr:rowOff>
    </xdr:to>
    <xdr:sp macro="" textlink="">
      <xdr:nvSpPr>
        <xdr:cNvPr id="1345" name="오른쪽으로 구부러진 화살표 134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447</xdr:row>
      <xdr:rowOff>0</xdr:rowOff>
    </xdr:from>
    <xdr:to>
      <xdr:col>3</xdr:col>
      <xdr:colOff>304800</xdr:colOff>
      <xdr:row>449</xdr:row>
      <xdr:rowOff>6350</xdr:rowOff>
    </xdr:to>
    <xdr:sp macro="" textlink="">
      <xdr:nvSpPr>
        <xdr:cNvPr id="1346" name="오른쪽으로 구부러진 화살표 134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449</xdr:row>
      <xdr:rowOff>0</xdr:rowOff>
    </xdr:from>
    <xdr:to>
      <xdr:col>3</xdr:col>
      <xdr:colOff>304800</xdr:colOff>
      <xdr:row>451</xdr:row>
      <xdr:rowOff>6350</xdr:rowOff>
    </xdr:to>
    <xdr:sp macro="" textlink="">
      <xdr:nvSpPr>
        <xdr:cNvPr id="1347" name="오른쪽으로 구부러진 화살표 134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445</xdr:row>
      <xdr:rowOff>0</xdr:rowOff>
    </xdr:from>
    <xdr:to>
      <xdr:col>3</xdr:col>
      <xdr:colOff>304800</xdr:colOff>
      <xdr:row>447</xdr:row>
      <xdr:rowOff>6350</xdr:rowOff>
    </xdr:to>
    <xdr:sp macro="" textlink="">
      <xdr:nvSpPr>
        <xdr:cNvPr id="1348" name="오른쪽으로 구부러진 화살표 134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447</xdr:row>
      <xdr:rowOff>0</xdr:rowOff>
    </xdr:from>
    <xdr:to>
      <xdr:col>3</xdr:col>
      <xdr:colOff>304800</xdr:colOff>
      <xdr:row>449</xdr:row>
      <xdr:rowOff>6350</xdr:rowOff>
    </xdr:to>
    <xdr:sp macro="" textlink="">
      <xdr:nvSpPr>
        <xdr:cNvPr id="1349" name="오른쪽으로 구부러진 화살표 134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449</xdr:row>
      <xdr:rowOff>0</xdr:rowOff>
    </xdr:from>
    <xdr:to>
      <xdr:col>3</xdr:col>
      <xdr:colOff>304800</xdr:colOff>
      <xdr:row>451</xdr:row>
      <xdr:rowOff>6350</xdr:rowOff>
    </xdr:to>
    <xdr:sp macro="" textlink="">
      <xdr:nvSpPr>
        <xdr:cNvPr id="1350" name="오른쪽으로 구부러진 화살표 134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444</xdr:row>
      <xdr:rowOff>76200</xdr:rowOff>
    </xdr:from>
    <xdr:to>
      <xdr:col>4</xdr:col>
      <xdr:colOff>0</xdr:colOff>
      <xdr:row>444</xdr:row>
      <xdr:rowOff>190500</xdr:rowOff>
    </xdr:to>
    <xdr:sp macro="" textlink="">
      <xdr:nvSpPr>
        <xdr:cNvPr id="1351" name="오른쪽 화살표 135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451</xdr:row>
      <xdr:rowOff>38100</xdr:rowOff>
    </xdr:from>
    <xdr:to>
      <xdr:col>3</xdr:col>
      <xdr:colOff>304800</xdr:colOff>
      <xdr:row>451</xdr:row>
      <xdr:rowOff>165100</xdr:rowOff>
    </xdr:to>
    <xdr:sp macro="" textlink="">
      <xdr:nvSpPr>
        <xdr:cNvPr id="1352" name="왼쪽 화살표 135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454</xdr:row>
      <xdr:rowOff>0</xdr:rowOff>
    </xdr:from>
    <xdr:to>
      <xdr:col>3</xdr:col>
      <xdr:colOff>304800</xdr:colOff>
      <xdr:row>456</xdr:row>
      <xdr:rowOff>6350</xdr:rowOff>
    </xdr:to>
    <xdr:sp macro="" textlink="">
      <xdr:nvSpPr>
        <xdr:cNvPr id="1353" name="오른쪽으로 구부러진 화살표 135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456</xdr:row>
      <xdr:rowOff>0</xdr:rowOff>
    </xdr:from>
    <xdr:to>
      <xdr:col>3</xdr:col>
      <xdr:colOff>304800</xdr:colOff>
      <xdr:row>458</xdr:row>
      <xdr:rowOff>6350</xdr:rowOff>
    </xdr:to>
    <xdr:sp macro="" textlink="">
      <xdr:nvSpPr>
        <xdr:cNvPr id="1354" name="오른쪽으로 구부러진 화살표 135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458</xdr:row>
      <xdr:rowOff>0</xdr:rowOff>
    </xdr:from>
    <xdr:to>
      <xdr:col>3</xdr:col>
      <xdr:colOff>304800</xdr:colOff>
      <xdr:row>460</xdr:row>
      <xdr:rowOff>6350</xdr:rowOff>
    </xdr:to>
    <xdr:sp macro="" textlink="">
      <xdr:nvSpPr>
        <xdr:cNvPr id="1355" name="오른쪽으로 구부러진 화살표 135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454</xdr:row>
      <xdr:rowOff>0</xdr:rowOff>
    </xdr:from>
    <xdr:to>
      <xdr:col>3</xdr:col>
      <xdr:colOff>304800</xdr:colOff>
      <xdr:row>456</xdr:row>
      <xdr:rowOff>6350</xdr:rowOff>
    </xdr:to>
    <xdr:sp macro="" textlink="">
      <xdr:nvSpPr>
        <xdr:cNvPr id="1356" name="오른쪽으로 구부러진 화살표 135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456</xdr:row>
      <xdr:rowOff>0</xdr:rowOff>
    </xdr:from>
    <xdr:to>
      <xdr:col>3</xdr:col>
      <xdr:colOff>304800</xdr:colOff>
      <xdr:row>458</xdr:row>
      <xdr:rowOff>6350</xdr:rowOff>
    </xdr:to>
    <xdr:sp macro="" textlink="">
      <xdr:nvSpPr>
        <xdr:cNvPr id="1357" name="오른쪽으로 구부러진 화살표 135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458</xdr:row>
      <xdr:rowOff>0</xdr:rowOff>
    </xdr:from>
    <xdr:to>
      <xdr:col>3</xdr:col>
      <xdr:colOff>304800</xdr:colOff>
      <xdr:row>460</xdr:row>
      <xdr:rowOff>6350</xdr:rowOff>
    </xdr:to>
    <xdr:sp macro="" textlink="">
      <xdr:nvSpPr>
        <xdr:cNvPr id="1358" name="오른쪽으로 구부러진 화살표 135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453</xdr:row>
      <xdr:rowOff>76200</xdr:rowOff>
    </xdr:from>
    <xdr:to>
      <xdr:col>4</xdr:col>
      <xdr:colOff>0</xdr:colOff>
      <xdr:row>453</xdr:row>
      <xdr:rowOff>190500</xdr:rowOff>
    </xdr:to>
    <xdr:sp macro="" textlink="">
      <xdr:nvSpPr>
        <xdr:cNvPr id="1359" name="오른쪽 화살표 135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460</xdr:row>
      <xdr:rowOff>38100</xdr:rowOff>
    </xdr:from>
    <xdr:to>
      <xdr:col>3</xdr:col>
      <xdr:colOff>304800</xdr:colOff>
      <xdr:row>460</xdr:row>
      <xdr:rowOff>165100</xdr:rowOff>
    </xdr:to>
    <xdr:sp macro="" textlink="">
      <xdr:nvSpPr>
        <xdr:cNvPr id="1360" name="왼쪽 화살표 135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463</xdr:row>
      <xdr:rowOff>0</xdr:rowOff>
    </xdr:from>
    <xdr:to>
      <xdr:col>3</xdr:col>
      <xdr:colOff>304800</xdr:colOff>
      <xdr:row>465</xdr:row>
      <xdr:rowOff>6350</xdr:rowOff>
    </xdr:to>
    <xdr:sp macro="" textlink="">
      <xdr:nvSpPr>
        <xdr:cNvPr id="1361" name="오른쪽으로 구부러진 화살표 136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465</xdr:row>
      <xdr:rowOff>0</xdr:rowOff>
    </xdr:from>
    <xdr:to>
      <xdr:col>3</xdr:col>
      <xdr:colOff>304800</xdr:colOff>
      <xdr:row>467</xdr:row>
      <xdr:rowOff>6350</xdr:rowOff>
    </xdr:to>
    <xdr:sp macro="" textlink="">
      <xdr:nvSpPr>
        <xdr:cNvPr id="1362" name="오른쪽으로 구부러진 화살표 136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467</xdr:row>
      <xdr:rowOff>0</xdr:rowOff>
    </xdr:from>
    <xdr:to>
      <xdr:col>3</xdr:col>
      <xdr:colOff>304800</xdr:colOff>
      <xdr:row>469</xdr:row>
      <xdr:rowOff>6350</xdr:rowOff>
    </xdr:to>
    <xdr:sp macro="" textlink="">
      <xdr:nvSpPr>
        <xdr:cNvPr id="1363" name="오른쪽으로 구부러진 화살표 136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463</xdr:row>
      <xdr:rowOff>0</xdr:rowOff>
    </xdr:from>
    <xdr:to>
      <xdr:col>3</xdr:col>
      <xdr:colOff>304800</xdr:colOff>
      <xdr:row>465</xdr:row>
      <xdr:rowOff>6350</xdr:rowOff>
    </xdr:to>
    <xdr:sp macro="" textlink="">
      <xdr:nvSpPr>
        <xdr:cNvPr id="1364" name="오른쪽으로 구부러진 화살표 136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465</xdr:row>
      <xdr:rowOff>0</xdr:rowOff>
    </xdr:from>
    <xdr:to>
      <xdr:col>3</xdr:col>
      <xdr:colOff>304800</xdr:colOff>
      <xdr:row>467</xdr:row>
      <xdr:rowOff>6350</xdr:rowOff>
    </xdr:to>
    <xdr:sp macro="" textlink="">
      <xdr:nvSpPr>
        <xdr:cNvPr id="1365" name="오른쪽으로 구부러진 화살표 136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467</xdr:row>
      <xdr:rowOff>0</xdr:rowOff>
    </xdr:from>
    <xdr:to>
      <xdr:col>3</xdr:col>
      <xdr:colOff>304800</xdr:colOff>
      <xdr:row>469</xdr:row>
      <xdr:rowOff>6350</xdr:rowOff>
    </xdr:to>
    <xdr:sp macro="" textlink="">
      <xdr:nvSpPr>
        <xdr:cNvPr id="1366" name="오른쪽으로 구부러진 화살표 136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462</xdr:row>
      <xdr:rowOff>76200</xdr:rowOff>
    </xdr:from>
    <xdr:to>
      <xdr:col>4</xdr:col>
      <xdr:colOff>0</xdr:colOff>
      <xdr:row>462</xdr:row>
      <xdr:rowOff>190500</xdr:rowOff>
    </xdr:to>
    <xdr:sp macro="" textlink="">
      <xdr:nvSpPr>
        <xdr:cNvPr id="1367" name="오른쪽 화살표 136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469</xdr:row>
      <xdr:rowOff>38100</xdr:rowOff>
    </xdr:from>
    <xdr:to>
      <xdr:col>3</xdr:col>
      <xdr:colOff>304800</xdr:colOff>
      <xdr:row>469</xdr:row>
      <xdr:rowOff>165100</xdr:rowOff>
    </xdr:to>
    <xdr:sp macro="" textlink="">
      <xdr:nvSpPr>
        <xdr:cNvPr id="1368" name="왼쪽 화살표 136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472</xdr:row>
      <xdr:rowOff>0</xdr:rowOff>
    </xdr:from>
    <xdr:to>
      <xdr:col>3</xdr:col>
      <xdr:colOff>304800</xdr:colOff>
      <xdr:row>474</xdr:row>
      <xdr:rowOff>6350</xdr:rowOff>
    </xdr:to>
    <xdr:sp macro="" textlink="">
      <xdr:nvSpPr>
        <xdr:cNvPr id="1369" name="오른쪽으로 구부러진 화살표 136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474</xdr:row>
      <xdr:rowOff>0</xdr:rowOff>
    </xdr:from>
    <xdr:to>
      <xdr:col>3</xdr:col>
      <xdr:colOff>304800</xdr:colOff>
      <xdr:row>476</xdr:row>
      <xdr:rowOff>6350</xdr:rowOff>
    </xdr:to>
    <xdr:sp macro="" textlink="">
      <xdr:nvSpPr>
        <xdr:cNvPr id="1370" name="오른쪽으로 구부러진 화살표 136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476</xdr:row>
      <xdr:rowOff>0</xdr:rowOff>
    </xdr:from>
    <xdr:to>
      <xdr:col>3</xdr:col>
      <xdr:colOff>304800</xdr:colOff>
      <xdr:row>478</xdr:row>
      <xdr:rowOff>6350</xdr:rowOff>
    </xdr:to>
    <xdr:sp macro="" textlink="">
      <xdr:nvSpPr>
        <xdr:cNvPr id="1371" name="오른쪽으로 구부러진 화살표 137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472</xdr:row>
      <xdr:rowOff>0</xdr:rowOff>
    </xdr:from>
    <xdr:to>
      <xdr:col>3</xdr:col>
      <xdr:colOff>304800</xdr:colOff>
      <xdr:row>474</xdr:row>
      <xdr:rowOff>6350</xdr:rowOff>
    </xdr:to>
    <xdr:sp macro="" textlink="">
      <xdr:nvSpPr>
        <xdr:cNvPr id="1372" name="오른쪽으로 구부러진 화살표 137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474</xdr:row>
      <xdr:rowOff>0</xdr:rowOff>
    </xdr:from>
    <xdr:to>
      <xdr:col>3</xdr:col>
      <xdr:colOff>304800</xdr:colOff>
      <xdr:row>476</xdr:row>
      <xdr:rowOff>6350</xdr:rowOff>
    </xdr:to>
    <xdr:sp macro="" textlink="">
      <xdr:nvSpPr>
        <xdr:cNvPr id="1373" name="오른쪽으로 구부러진 화살표 137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476</xdr:row>
      <xdr:rowOff>0</xdr:rowOff>
    </xdr:from>
    <xdr:to>
      <xdr:col>3</xdr:col>
      <xdr:colOff>304800</xdr:colOff>
      <xdr:row>478</xdr:row>
      <xdr:rowOff>6350</xdr:rowOff>
    </xdr:to>
    <xdr:sp macro="" textlink="">
      <xdr:nvSpPr>
        <xdr:cNvPr id="1374" name="오른쪽으로 구부러진 화살표 137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471</xdr:row>
      <xdr:rowOff>76200</xdr:rowOff>
    </xdr:from>
    <xdr:to>
      <xdr:col>4</xdr:col>
      <xdr:colOff>0</xdr:colOff>
      <xdr:row>471</xdr:row>
      <xdr:rowOff>190500</xdr:rowOff>
    </xdr:to>
    <xdr:sp macro="" textlink="">
      <xdr:nvSpPr>
        <xdr:cNvPr id="1375" name="오른쪽 화살표 137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478</xdr:row>
      <xdr:rowOff>38100</xdr:rowOff>
    </xdr:from>
    <xdr:to>
      <xdr:col>3</xdr:col>
      <xdr:colOff>304800</xdr:colOff>
      <xdr:row>478</xdr:row>
      <xdr:rowOff>165100</xdr:rowOff>
    </xdr:to>
    <xdr:sp macro="" textlink="">
      <xdr:nvSpPr>
        <xdr:cNvPr id="1376" name="왼쪽 화살표 137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481</xdr:row>
      <xdr:rowOff>0</xdr:rowOff>
    </xdr:from>
    <xdr:to>
      <xdr:col>3</xdr:col>
      <xdr:colOff>304800</xdr:colOff>
      <xdr:row>483</xdr:row>
      <xdr:rowOff>6350</xdr:rowOff>
    </xdr:to>
    <xdr:sp macro="" textlink="">
      <xdr:nvSpPr>
        <xdr:cNvPr id="1377" name="오른쪽으로 구부러진 화살표 137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483</xdr:row>
      <xdr:rowOff>0</xdr:rowOff>
    </xdr:from>
    <xdr:to>
      <xdr:col>3</xdr:col>
      <xdr:colOff>304800</xdr:colOff>
      <xdr:row>485</xdr:row>
      <xdr:rowOff>6350</xdr:rowOff>
    </xdr:to>
    <xdr:sp macro="" textlink="">
      <xdr:nvSpPr>
        <xdr:cNvPr id="1378" name="오른쪽으로 구부러진 화살표 137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485</xdr:row>
      <xdr:rowOff>0</xdr:rowOff>
    </xdr:from>
    <xdr:to>
      <xdr:col>3</xdr:col>
      <xdr:colOff>304800</xdr:colOff>
      <xdr:row>487</xdr:row>
      <xdr:rowOff>6350</xdr:rowOff>
    </xdr:to>
    <xdr:sp macro="" textlink="">
      <xdr:nvSpPr>
        <xdr:cNvPr id="1379" name="오른쪽으로 구부러진 화살표 137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481</xdr:row>
      <xdr:rowOff>0</xdr:rowOff>
    </xdr:from>
    <xdr:to>
      <xdr:col>3</xdr:col>
      <xdr:colOff>304800</xdr:colOff>
      <xdr:row>483</xdr:row>
      <xdr:rowOff>6350</xdr:rowOff>
    </xdr:to>
    <xdr:sp macro="" textlink="">
      <xdr:nvSpPr>
        <xdr:cNvPr id="1380" name="오른쪽으로 구부러진 화살표 137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483</xdr:row>
      <xdr:rowOff>0</xdr:rowOff>
    </xdr:from>
    <xdr:to>
      <xdr:col>3</xdr:col>
      <xdr:colOff>304800</xdr:colOff>
      <xdr:row>485</xdr:row>
      <xdr:rowOff>6350</xdr:rowOff>
    </xdr:to>
    <xdr:sp macro="" textlink="">
      <xdr:nvSpPr>
        <xdr:cNvPr id="1381" name="오른쪽으로 구부러진 화살표 138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485</xdr:row>
      <xdr:rowOff>0</xdr:rowOff>
    </xdr:from>
    <xdr:to>
      <xdr:col>3</xdr:col>
      <xdr:colOff>304800</xdr:colOff>
      <xdr:row>487</xdr:row>
      <xdr:rowOff>6350</xdr:rowOff>
    </xdr:to>
    <xdr:sp macro="" textlink="">
      <xdr:nvSpPr>
        <xdr:cNvPr id="1382" name="오른쪽으로 구부러진 화살표 138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480</xdr:row>
      <xdr:rowOff>76200</xdr:rowOff>
    </xdr:from>
    <xdr:to>
      <xdr:col>4</xdr:col>
      <xdr:colOff>0</xdr:colOff>
      <xdr:row>480</xdr:row>
      <xdr:rowOff>190500</xdr:rowOff>
    </xdr:to>
    <xdr:sp macro="" textlink="">
      <xdr:nvSpPr>
        <xdr:cNvPr id="1383" name="오른쪽 화살표 138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487</xdr:row>
      <xdr:rowOff>38100</xdr:rowOff>
    </xdr:from>
    <xdr:to>
      <xdr:col>3</xdr:col>
      <xdr:colOff>304800</xdr:colOff>
      <xdr:row>487</xdr:row>
      <xdr:rowOff>165100</xdr:rowOff>
    </xdr:to>
    <xdr:sp macro="" textlink="">
      <xdr:nvSpPr>
        <xdr:cNvPr id="1384" name="왼쪽 화살표 138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490</xdr:row>
      <xdr:rowOff>0</xdr:rowOff>
    </xdr:from>
    <xdr:to>
      <xdr:col>3</xdr:col>
      <xdr:colOff>304800</xdr:colOff>
      <xdr:row>492</xdr:row>
      <xdr:rowOff>6350</xdr:rowOff>
    </xdr:to>
    <xdr:sp macro="" textlink="">
      <xdr:nvSpPr>
        <xdr:cNvPr id="1385" name="오른쪽으로 구부러진 화살표 138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492</xdr:row>
      <xdr:rowOff>0</xdr:rowOff>
    </xdr:from>
    <xdr:to>
      <xdr:col>3</xdr:col>
      <xdr:colOff>304800</xdr:colOff>
      <xdr:row>494</xdr:row>
      <xdr:rowOff>6350</xdr:rowOff>
    </xdr:to>
    <xdr:sp macro="" textlink="">
      <xdr:nvSpPr>
        <xdr:cNvPr id="1386" name="오른쪽으로 구부러진 화살표 138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494</xdr:row>
      <xdr:rowOff>0</xdr:rowOff>
    </xdr:from>
    <xdr:to>
      <xdr:col>3</xdr:col>
      <xdr:colOff>304800</xdr:colOff>
      <xdr:row>496</xdr:row>
      <xdr:rowOff>6350</xdr:rowOff>
    </xdr:to>
    <xdr:sp macro="" textlink="">
      <xdr:nvSpPr>
        <xdr:cNvPr id="1387" name="오른쪽으로 구부러진 화살표 138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490</xdr:row>
      <xdr:rowOff>0</xdr:rowOff>
    </xdr:from>
    <xdr:to>
      <xdr:col>3</xdr:col>
      <xdr:colOff>304800</xdr:colOff>
      <xdr:row>492</xdr:row>
      <xdr:rowOff>6350</xdr:rowOff>
    </xdr:to>
    <xdr:sp macro="" textlink="">
      <xdr:nvSpPr>
        <xdr:cNvPr id="1388" name="오른쪽으로 구부러진 화살표 138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492</xdr:row>
      <xdr:rowOff>0</xdr:rowOff>
    </xdr:from>
    <xdr:to>
      <xdr:col>3</xdr:col>
      <xdr:colOff>304800</xdr:colOff>
      <xdr:row>494</xdr:row>
      <xdr:rowOff>6350</xdr:rowOff>
    </xdr:to>
    <xdr:sp macro="" textlink="">
      <xdr:nvSpPr>
        <xdr:cNvPr id="1389" name="오른쪽으로 구부러진 화살표 138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494</xdr:row>
      <xdr:rowOff>0</xdr:rowOff>
    </xdr:from>
    <xdr:to>
      <xdr:col>3</xdr:col>
      <xdr:colOff>304800</xdr:colOff>
      <xdr:row>496</xdr:row>
      <xdr:rowOff>6350</xdr:rowOff>
    </xdr:to>
    <xdr:sp macro="" textlink="">
      <xdr:nvSpPr>
        <xdr:cNvPr id="1390" name="오른쪽으로 구부러진 화살표 138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489</xdr:row>
      <xdr:rowOff>76200</xdr:rowOff>
    </xdr:from>
    <xdr:to>
      <xdr:col>4</xdr:col>
      <xdr:colOff>0</xdr:colOff>
      <xdr:row>489</xdr:row>
      <xdr:rowOff>190500</xdr:rowOff>
    </xdr:to>
    <xdr:sp macro="" textlink="">
      <xdr:nvSpPr>
        <xdr:cNvPr id="1391" name="오른쪽 화살표 139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496</xdr:row>
      <xdr:rowOff>38100</xdr:rowOff>
    </xdr:from>
    <xdr:to>
      <xdr:col>3</xdr:col>
      <xdr:colOff>304800</xdr:colOff>
      <xdr:row>496</xdr:row>
      <xdr:rowOff>165100</xdr:rowOff>
    </xdr:to>
    <xdr:sp macro="" textlink="">
      <xdr:nvSpPr>
        <xdr:cNvPr id="1392" name="왼쪽 화살표 139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499</xdr:row>
      <xdr:rowOff>0</xdr:rowOff>
    </xdr:from>
    <xdr:to>
      <xdr:col>3</xdr:col>
      <xdr:colOff>304800</xdr:colOff>
      <xdr:row>501</xdr:row>
      <xdr:rowOff>6350</xdr:rowOff>
    </xdr:to>
    <xdr:sp macro="" textlink="">
      <xdr:nvSpPr>
        <xdr:cNvPr id="1393" name="오른쪽으로 구부러진 화살표 139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501</xdr:row>
      <xdr:rowOff>0</xdr:rowOff>
    </xdr:from>
    <xdr:to>
      <xdr:col>3</xdr:col>
      <xdr:colOff>304800</xdr:colOff>
      <xdr:row>503</xdr:row>
      <xdr:rowOff>6350</xdr:rowOff>
    </xdr:to>
    <xdr:sp macro="" textlink="">
      <xdr:nvSpPr>
        <xdr:cNvPr id="1394" name="오른쪽으로 구부러진 화살표 139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503</xdr:row>
      <xdr:rowOff>0</xdr:rowOff>
    </xdr:from>
    <xdr:to>
      <xdr:col>3</xdr:col>
      <xdr:colOff>304800</xdr:colOff>
      <xdr:row>505</xdr:row>
      <xdr:rowOff>6350</xdr:rowOff>
    </xdr:to>
    <xdr:sp macro="" textlink="">
      <xdr:nvSpPr>
        <xdr:cNvPr id="1395" name="오른쪽으로 구부러진 화살표 139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499</xdr:row>
      <xdr:rowOff>0</xdr:rowOff>
    </xdr:from>
    <xdr:to>
      <xdr:col>3</xdr:col>
      <xdr:colOff>304800</xdr:colOff>
      <xdr:row>501</xdr:row>
      <xdr:rowOff>6350</xdr:rowOff>
    </xdr:to>
    <xdr:sp macro="" textlink="">
      <xdr:nvSpPr>
        <xdr:cNvPr id="1396" name="오른쪽으로 구부러진 화살표 139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501</xdr:row>
      <xdr:rowOff>0</xdr:rowOff>
    </xdr:from>
    <xdr:to>
      <xdr:col>3</xdr:col>
      <xdr:colOff>304800</xdr:colOff>
      <xdr:row>503</xdr:row>
      <xdr:rowOff>6350</xdr:rowOff>
    </xdr:to>
    <xdr:sp macro="" textlink="">
      <xdr:nvSpPr>
        <xdr:cNvPr id="1397" name="오른쪽으로 구부러진 화살표 139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503</xdr:row>
      <xdr:rowOff>0</xdr:rowOff>
    </xdr:from>
    <xdr:to>
      <xdr:col>3</xdr:col>
      <xdr:colOff>304800</xdr:colOff>
      <xdr:row>505</xdr:row>
      <xdr:rowOff>6350</xdr:rowOff>
    </xdr:to>
    <xdr:sp macro="" textlink="">
      <xdr:nvSpPr>
        <xdr:cNvPr id="1398" name="오른쪽으로 구부러진 화살표 139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498</xdr:row>
      <xdr:rowOff>76200</xdr:rowOff>
    </xdr:from>
    <xdr:to>
      <xdr:col>4</xdr:col>
      <xdr:colOff>0</xdr:colOff>
      <xdr:row>498</xdr:row>
      <xdr:rowOff>190500</xdr:rowOff>
    </xdr:to>
    <xdr:sp macro="" textlink="">
      <xdr:nvSpPr>
        <xdr:cNvPr id="1399" name="오른쪽 화살표 139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505</xdr:row>
      <xdr:rowOff>38100</xdr:rowOff>
    </xdr:from>
    <xdr:to>
      <xdr:col>3</xdr:col>
      <xdr:colOff>304800</xdr:colOff>
      <xdr:row>505</xdr:row>
      <xdr:rowOff>165100</xdr:rowOff>
    </xdr:to>
    <xdr:sp macro="" textlink="">
      <xdr:nvSpPr>
        <xdr:cNvPr id="1400" name="왼쪽 화살표 139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508</xdr:row>
      <xdr:rowOff>0</xdr:rowOff>
    </xdr:from>
    <xdr:to>
      <xdr:col>3</xdr:col>
      <xdr:colOff>304800</xdr:colOff>
      <xdr:row>510</xdr:row>
      <xdr:rowOff>6350</xdr:rowOff>
    </xdr:to>
    <xdr:sp macro="" textlink="">
      <xdr:nvSpPr>
        <xdr:cNvPr id="1401" name="오른쪽으로 구부러진 화살표 140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510</xdr:row>
      <xdr:rowOff>0</xdr:rowOff>
    </xdr:from>
    <xdr:to>
      <xdr:col>3</xdr:col>
      <xdr:colOff>304800</xdr:colOff>
      <xdr:row>512</xdr:row>
      <xdr:rowOff>6350</xdr:rowOff>
    </xdr:to>
    <xdr:sp macro="" textlink="">
      <xdr:nvSpPr>
        <xdr:cNvPr id="1402" name="오른쪽으로 구부러진 화살표 140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512</xdr:row>
      <xdr:rowOff>0</xdr:rowOff>
    </xdr:from>
    <xdr:to>
      <xdr:col>3</xdr:col>
      <xdr:colOff>304800</xdr:colOff>
      <xdr:row>514</xdr:row>
      <xdr:rowOff>6350</xdr:rowOff>
    </xdr:to>
    <xdr:sp macro="" textlink="">
      <xdr:nvSpPr>
        <xdr:cNvPr id="1403" name="오른쪽으로 구부러진 화살표 140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508</xdr:row>
      <xdr:rowOff>0</xdr:rowOff>
    </xdr:from>
    <xdr:to>
      <xdr:col>3</xdr:col>
      <xdr:colOff>304800</xdr:colOff>
      <xdr:row>510</xdr:row>
      <xdr:rowOff>6350</xdr:rowOff>
    </xdr:to>
    <xdr:sp macro="" textlink="">
      <xdr:nvSpPr>
        <xdr:cNvPr id="1404" name="오른쪽으로 구부러진 화살표 140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510</xdr:row>
      <xdr:rowOff>0</xdr:rowOff>
    </xdr:from>
    <xdr:to>
      <xdr:col>3</xdr:col>
      <xdr:colOff>304800</xdr:colOff>
      <xdr:row>512</xdr:row>
      <xdr:rowOff>6350</xdr:rowOff>
    </xdr:to>
    <xdr:sp macro="" textlink="">
      <xdr:nvSpPr>
        <xdr:cNvPr id="1405" name="오른쪽으로 구부러진 화살표 140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512</xdr:row>
      <xdr:rowOff>0</xdr:rowOff>
    </xdr:from>
    <xdr:to>
      <xdr:col>3</xdr:col>
      <xdr:colOff>304800</xdr:colOff>
      <xdr:row>514</xdr:row>
      <xdr:rowOff>6350</xdr:rowOff>
    </xdr:to>
    <xdr:sp macro="" textlink="">
      <xdr:nvSpPr>
        <xdr:cNvPr id="1406" name="오른쪽으로 구부러진 화살표 140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507</xdr:row>
      <xdr:rowOff>76200</xdr:rowOff>
    </xdr:from>
    <xdr:to>
      <xdr:col>4</xdr:col>
      <xdr:colOff>0</xdr:colOff>
      <xdr:row>507</xdr:row>
      <xdr:rowOff>190500</xdr:rowOff>
    </xdr:to>
    <xdr:sp macro="" textlink="">
      <xdr:nvSpPr>
        <xdr:cNvPr id="1407" name="오른쪽 화살표 140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514</xdr:row>
      <xdr:rowOff>38100</xdr:rowOff>
    </xdr:from>
    <xdr:to>
      <xdr:col>3</xdr:col>
      <xdr:colOff>304800</xdr:colOff>
      <xdr:row>514</xdr:row>
      <xdr:rowOff>165100</xdr:rowOff>
    </xdr:to>
    <xdr:sp macro="" textlink="">
      <xdr:nvSpPr>
        <xdr:cNvPr id="1408" name="왼쪽 화살표 140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517</xdr:row>
      <xdr:rowOff>0</xdr:rowOff>
    </xdr:from>
    <xdr:to>
      <xdr:col>3</xdr:col>
      <xdr:colOff>304800</xdr:colOff>
      <xdr:row>519</xdr:row>
      <xdr:rowOff>6350</xdr:rowOff>
    </xdr:to>
    <xdr:sp macro="" textlink="">
      <xdr:nvSpPr>
        <xdr:cNvPr id="1409" name="오른쪽으로 구부러진 화살표 140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519</xdr:row>
      <xdr:rowOff>0</xdr:rowOff>
    </xdr:from>
    <xdr:to>
      <xdr:col>3</xdr:col>
      <xdr:colOff>304800</xdr:colOff>
      <xdr:row>521</xdr:row>
      <xdr:rowOff>6350</xdr:rowOff>
    </xdr:to>
    <xdr:sp macro="" textlink="">
      <xdr:nvSpPr>
        <xdr:cNvPr id="1410" name="오른쪽으로 구부러진 화살표 140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521</xdr:row>
      <xdr:rowOff>0</xdr:rowOff>
    </xdr:from>
    <xdr:to>
      <xdr:col>3</xdr:col>
      <xdr:colOff>304800</xdr:colOff>
      <xdr:row>523</xdr:row>
      <xdr:rowOff>6350</xdr:rowOff>
    </xdr:to>
    <xdr:sp macro="" textlink="">
      <xdr:nvSpPr>
        <xdr:cNvPr id="1411" name="오른쪽으로 구부러진 화살표 141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517</xdr:row>
      <xdr:rowOff>0</xdr:rowOff>
    </xdr:from>
    <xdr:to>
      <xdr:col>3</xdr:col>
      <xdr:colOff>304800</xdr:colOff>
      <xdr:row>519</xdr:row>
      <xdr:rowOff>6350</xdr:rowOff>
    </xdr:to>
    <xdr:sp macro="" textlink="">
      <xdr:nvSpPr>
        <xdr:cNvPr id="1412" name="오른쪽으로 구부러진 화살표 141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519</xdr:row>
      <xdr:rowOff>0</xdr:rowOff>
    </xdr:from>
    <xdr:to>
      <xdr:col>3</xdr:col>
      <xdr:colOff>304800</xdr:colOff>
      <xdr:row>521</xdr:row>
      <xdr:rowOff>6350</xdr:rowOff>
    </xdr:to>
    <xdr:sp macro="" textlink="">
      <xdr:nvSpPr>
        <xdr:cNvPr id="1413" name="오른쪽으로 구부러진 화살표 141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521</xdr:row>
      <xdr:rowOff>0</xdr:rowOff>
    </xdr:from>
    <xdr:to>
      <xdr:col>3</xdr:col>
      <xdr:colOff>304800</xdr:colOff>
      <xdr:row>523</xdr:row>
      <xdr:rowOff>6350</xdr:rowOff>
    </xdr:to>
    <xdr:sp macro="" textlink="">
      <xdr:nvSpPr>
        <xdr:cNvPr id="1414" name="오른쪽으로 구부러진 화살표 141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516</xdr:row>
      <xdr:rowOff>76200</xdr:rowOff>
    </xdr:from>
    <xdr:to>
      <xdr:col>4</xdr:col>
      <xdr:colOff>0</xdr:colOff>
      <xdr:row>516</xdr:row>
      <xdr:rowOff>190500</xdr:rowOff>
    </xdr:to>
    <xdr:sp macro="" textlink="">
      <xdr:nvSpPr>
        <xdr:cNvPr id="1415" name="오른쪽 화살표 141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523</xdr:row>
      <xdr:rowOff>38100</xdr:rowOff>
    </xdr:from>
    <xdr:to>
      <xdr:col>3</xdr:col>
      <xdr:colOff>304800</xdr:colOff>
      <xdr:row>523</xdr:row>
      <xdr:rowOff>165100</xdr:rowOff>
    </xdr:to>
    <xdr:sp macro="" textlink="">
      <xdr:nvSpPr>
        <xdr:cNvPr id="1416" name="왼쪽 화살표 141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526</xdr:row>
      <xdr:rowOff>0</xdr:rowOff>
    </xdr:from>
    <xdr:to>
      <xdr:col>3</xdr:col>
      <xdr:colOff>304800</xdr:colOff>
      <xdr:row>528</xdr:row>
      <xdr:rowOff>6350</xdr:rowOff>
    </xdr:to>
    <xdr:sp macro="" textlink="">
      <xdr:nvSpPr>
        <xdr:cNvPr id="1417" name="오른쪽으로 구부러진 화살표 141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528</xdr:row>
      <xdr:rowOff>0</xdr:rowOff>
    </xdr:from>
    <xdr:to>
      <xdr:col>3</xdr:col>
      <xdr:colOff>304800</xdr:colOff>
      <xdr:row>530</xdr:row>
      <xdr:rowOff>6350</xdr:rowOff>
    </xdr:to>
    <xdr:sp macro="" textlink="">
      <xdr:nvSpPr>
        <xdr:cNvPr id="1418" name="오른쪽으로 구부러진 화살표 141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530</xdr:row>
      <xdr:rowOff>0</xdr:rowOff>
    </xdr:from>
    <xdr:to>
      <xdr:col>3</xdr:col>
      <xdr:colOff>304800</xdr:colOff>
      <xdr:row>532</xdr:row>
      <xdr:rowOff>6350</xdr:rowOff>
    </xdr:to>
    <xdr:sp macro="" textlink="">
      <xdr:nvSpPr>
        <xdr:cNvPr id="1419" name="오른쪽으로 구부러진 화살표 141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526</xdr:row>
      <xdr:rowOff>0</xdr:rowOff>
    </xdr:from>
    <xdr:to>
      <xdr:col>3</xdr:col>
      <xdr:colOff>304800</xdr:colOff>
      <xdr:row>528</xdr:row>
      <xdr:rowOff>6350</xdr:rowOff>
    </xdr:to>
    <xdr:sp macro="" textlink="">
      <xdr:nvSpPr>
        <xdr:cNvPr id="1420" name="오른쪽으로 구부러진 화살표 141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528</xdr:row>
      <xdr:rowOff>0</xdr:rowOff>
    </xdr:from>
    <xdr:to>
      <xdr:col>3</xdr:col>
      <xdr:colOff>304800</xdr:colOff>
      <xdr:row>530</xdr:row>
      <xdr:rowOff>6350</xdr:rowOff>
    </xdr:to>
    <xdr:sp macro="" textlink="">
      <xdr:nvSpPr>
        <xdr:cNvPr id="1421" name="오른쪽으로 구부러진 화살표 142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530</xdr:row>
      <xdr:rowOff>0</xdr:rowOff>
    </xdr:from>
    <xdr:to>
      <xdr:col>3</xdr:col>
      <xdr:colOff>304800</xdr:colOff>
      <xdr:row>532</xdr:row>
      <xdr:rowOff>6350</xdr:rowOff>
    </xdr:to>
    <xdr:sp macro="" textlink="">
      <xdr:nvSpPr>
        <xdr:cNvPr id="1422" name="오른쪽으로 구부러진 화살표 142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525</xdr:row>
      <xdr:rowOff>76200</xdr:rowOff>
    </xdr:from>
    <xdr:to>
      <xdr:col>4</xdr:col>
      <xdr:colOff>0</xdr:colOff>
      <xdr:row>525</xdr:row>
      <xdr:rowOff>190500</xdr:rowOff>
    </xdr:to>
    <xdr:sp macro="" textlink="">
      <xdr:nvSpPr>
        <xdr:cNvPr id="1423" name="오른쪽 화살표 142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532</xdr:row>
      <xdr:rowOff>38100</xdr:rowOff>
    </xdr:from>
    <xdr:to>
      <xdr:col>3</xdr:col>
      <xdr:colOff>304800</xdr:colOff>
      <xdr:row>532</xdr:row>
      <xdr:rowOff>165100</xdr:rowOff>
    </xdr:to>
    <xdr:sp macro="" textlink="">
      <xdr:nvSpPr>
        <xdr:cNvPr id="1424" name="왼쪽 화살표 142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535</xdr:row>
      <xdr:rowOff>0</xdr:rowOff>
    </xdr:from>
    <xdr:to>
      <xdr:col>3</xdr:col>
      <xdr:colOff>304800</xdr:colOff>
      <xdr:row>537</xdr:row>
      <xdr:rowOff>6350</xdr:rowOff>
    </xdr:to>
    <xdr:sp macro="" textlink="">
      <xdr:nvSpPr>
        <xdr:cNvPr id="1425" name="오른쪽으로 구부러진 화살표 142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537</xdr:row>
      <xdr:rowOff>0</xdr:rowOff>
    </xdr:from>
    <xdr:to>
      <xdr:col>3</xdr:col>
      <xdr:colOff>304800</xdr:colOff>
      <xdr:row>539</xdr:row>
      <xdr:rowOff>6350</xdr:rowOff>
    </xdr:to>
    <xdr:sp macro="" textlink="">
      <xdr:nvSpPr>
        <xdr:cNvPr id="1426" name="오른쪽으로 구부러진 화살표 142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539</xdr:row>
      <xdr:rowOff>0</xdr:rowOff>
    </xdr:from>
    <xdr:to>
      <xdr:col>3</xdr:col>
      <xdr:colOff>304800</xdr:colOff>
      <xdr:row>541</xdr:row>
      <xdr:rowOff>6350</xdr:rowOff>
    </xdr:to>
    <xdr:sp macro="" textlink="">
      <xdr:nvSpPr>
        <xdr:cNvPr id="1427" name="오른쪽으로 구부러진 화살표 142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535</xdr:row>
      <xdr:rowOff>0</xdr:rowOff>
    </xdr:from>
    <xdr:to>
      <xdr:col>3</xdr:col>
      <xdr:colOff>304800</xdr:colOff>
      <xdr:row>537</xdr:row>
      <xdr:rowOff>6350</xdr:rowOff>
    </xdr:to>
    <xdr:sp macro="" textlink="">
      <xdr:nvSpPr>
        <xdr:cNvPr id="1428" name="오른쪽으로 구부러진 화살표 142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537</xdr:row>
      <xdr:rowOff>0</xdr:rowOff>
    </xdr:from>
    <xdr:to>
      <xdr:col>3</xdr:col>
      <xdr:colOff>304800</xdr:colOff>
      <xdr:row>539</xdr:row>
      <xdr:rowOff>6350</xdr:rowOff>
    </xdr:to>
    <xdr:sp macro="" textlink="">
      <xdr:nvSpPr>
        <xdr:cNvPr id="1429" name="오른쪽으로 구부러진 화살표 142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539</xdr:row>
      <xdr:rowOff>0</xdr:rowOff>
    </xdr:from>
    <xdr:to>
      <xdr:col>3</xdr:col>
      <xdr:colOff>304800</xdr:colOff>
      <xdr:row>541</xdr:row>
      <xdr:rowOff>6350</xdr:rowOff>
    </xdr:to>
    <xdr:sp macro="" textlink="">
      <xdr:nvSpPr>
        <xdr:cNvPr id="1430" name="오른쪽으로 구부러진 화살표 142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534</xdr:row>
      <xdr:rowOff>76200</xdr:rowOff>
    </xdr:from>
    <xdr:to>
      <xdr:col>4</xdr:col>
      <xdr:colOff>0</xdr:colOff>
      <xdr:row>534</xdr:row>
      <xdr:rowOff>190500</xdr:rowOff>
    </xdr:to>
    <xdr:sp macro="" textlink="">
      <xdr:nvSpPr>
        <xdr:cNvPr id="1431" name="오른쪽 화살표 143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541</xdr:row>
      <xdr:rowOff>38100</xdr:rowOff>
    </xdr:from>
    <xdr:to>
      <xdr:col>3</xdr:col>
      <xdr:colOff>304800</xdr:colOff>
      <xdr:row>541</xdr:row>
      <xdr:rowOff>165100</xdr:rowOff>
    </xdr:to>
    <xdr:sp macro="" textlink="">
      <xdr:nvSpPr>
        <xdr:cNvPr id="1432" name="왼쪽 화살표 143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544</xdr:row>
      <xdr:rowOff>0</xdr:rowOff>
    </xdr:from>
    <xdr:to>
      <xdr:col>3</xdr:col>
      <xdr:colOff>304800</xdr:colOff>
      <xdr:row>546</xdr:row>
      <xdr:rowOff>6350</xdr:rowOff>
    </xdr:to>
    <xdr:sp macro="" textlink="">
      <xdr:nvSpPr>
        <xdr:cNvPr id="1433" name="오른쪽으로 구부러진 화살표 143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546</xdr:row>
      <xdr:rowOff>0</xdr:rowOff>
    </xdr:from>
    <xdr:to>
      <xdr:col>3</xdr:col>
      <xdr:colOff>304800</xdr:colOff>
      <xdr:row>548</xdr:row>
      <xdr:rowOff>6350</xdr:rowOff>
    </xdr:to>
    <xdr:sp macro="" textlink="">
      <xdr:nvSpPr>
        <xdr:cNvPr id="1434" name="오른쪽으로 구부러진 화살표 143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548</xdr:row>
      <xdr:rowOff>0</xdr:rowOff>
    </xdr:from>
    <xdr:to>
      <xdr:col>3</xdr:col>
      <xdr:colOff>304800</xdr:colOff>
      <xdr:row>550</xdr:row>
      <xdr:rowOff>6350</xdr:rowOff>
    </xdr:to>
    <xdr:sp macro="" textlink="">
      <xdr:nvSpPr>
        <xdr:cNvPr id="1435" name="오른쪽으로 구부러진 화살표 143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544</xdr:row>
      <xdr:rowOff>0</xdr:rowOff>
    </xdr:from>
    <xdr:to>
      <xdr:col>3</xdr:col>
      <xdr:colOff>304800</xdr:colOff>
      <xdr:row>546</xdr:row>
      <xdr:rowOff>6350</xdr:rowOff>
    </xdr:to>
    <xdr:sp macro="" textlink="">
      <xdr:nvSpPr>
        <xdr:cNvPr id="1436" name="오른쪽으로 구부러진 화살표 143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546</xdr:row>
      <xdr:rowOff>0</xdr:rowOff>
    </xdr:from>
    <xdr:to>
      <xdr:col>3</xdr:col>
      <xdr:colOff>304800</xdr:colOff>
      <xdr:row>548</xdr:row>
      <xdr:rowOff>6350</xdr:rowOff>
    </xdr:to>
    <xdr:sp macro="" textlink="">
      <xdr:nvSpPr>
        <xdr:cNvPr id="1437" name="오른쪽으로 구부러진 화살표 143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548</xdr:row>
      <xdr:rowOff>0</xdr:rowOff>
    </xdr:from>
    <xdr:to>
      <xdr:col>3</xdr:col>
      <xdr:colOff>304800</xdr:colOff>
      <xdr:row>550</xdr:row>
      <xdr:rowOff>6350</xdr:rowOff>
    </xdr:to>
    <xdr:sp macro="" textlink="">
      <xdr:nvSpPr>
        <xdr:cNvPr id="1438" name="오른쪽으로 구부러진 화살표 143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543</xdr:row>
      <xdr:rowOff>76200</xdr:rowOff>
    </xdr:from>
    <xdr:to>
      <xdr:col>4</xdr:col>
      <xdr:colOff>0</xdr:colOff>
      <xdr:row>543</xdr:row>
      <xdr:rowOff>190500</xdr:rowOff>
    </xdr:to>
    <xdr:sp macro="" textlink="">
      <xdr:nvSpPr>
        <xdr:cNvPr id="1439" name="오른쪽 화살표 143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550</xdr:row>
      <xdr:rowOff>38100</xdr:rowOff>
    </xdr:from>
    <xdr:to>
      <xdr:col>3</xdr:col>
      <xdr:colOff>304800</xdr:colOff>
      <xdr:row>550</xdr:row>
      <xdr:rowOff>165100</xdr:rowOff>
    </xdr:to>
    <xdr:sp macro="" textlink="">
      <xdr:nvSpPr>
        <xdr:cNvPr id="1440" name="왼쪽 화살표 143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553</xdr:row>
      <xdr:rowOff>0</xdr:rowOff>
    </xdr:from>
    <xdr:to>
      <xdr:col>3</xdr:col>
      <xdr:colOff>304800</xdr:colOff>
      <xdr:row>555</xdr:row>
      <xdr:rowOff>6350</xdr:rowOff>
    </xdr:to>
    <xdr:sp macro="" textlink="">
      <xdr:nvSpPr>
        <xdr:cNvPr id="1441" name="오른쪽으로 구부러진 화살표 144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555</xdr:row>
      <xdr:rowOff>0</xdr:rowOff>
    </xdr:from>
    <xdr:to>
      <xdr:col>3</xdr:col>
      <xdr:colOff>304800</xdr:colOff>
      <xdr:row>557</xdr:row>
      <xdr:rowOff>6350</xdr:rowOff>
    </xdr:to>
    <xdr:sp macro="" textlink="">
      <xdr:nvSpPr>
        <xdr:cNvPr id="1442" name="오른쪽으로 구부러진 화살표 144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557</xdr:row>
      <xdr:rowOff>0</xdr:rowOff>
    </xdr:from>
    <xdr:to>
      <xdr:col>3</xdr:col>
      <xdr:colOff>304800</xdr:colOff>
      <xdr:row>559</xdr:row>
      <xdr:rowOff>6350</xdr:rowOff>
    </xdr:to>
    <xdr:sp macro="" textlink="">
      <xdr:nvSpPr>
        <xdr:cNvPr id="1443" name="오른쪽으로 구부러진 화살표 144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553</xdr:row>
      <xdr:rowOff>0</xdr:rowOff>
    </xdr:from>
    <xdr:to>
      <xdr:col>3</xdr:col>
      <xdr:colOff>304800</xdr:colOff>
      <xdr:row>555</xdr:row>
      <xdr:rowOff>6350</xdr:rowOff>
    </xdr:to>
    <xdr:sp macro="" textlink="">
      <xdr:nvSpPr>
        <xdr:cNvPr id="1444" name="오른쪽으로 구부러진 화살표 144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555</xdr:row>
      <xdr:rowOff>0</xdr:rowOff>
    </xdr:from>
    <xdr:to>
      <xdr:col>3</xdr:col>
      <xdr:colOff>304800</xdr:colOff>
      <xdr:row>557</xdr:row>
      <xdr:rowOff>6350</xdr:rowOff>
    </xdr:to>
    <xdr:sp macro="" textlink="">
      <xdr:nvSpPr>
        <xdr:cNvPr id="1445" name="오른쪽으로 구부러진 화살표 144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557</xdr:row>
      <xdr:rowOff>0</xdr:rowOff>
    </xdr:from>
    <xdr:to>
      <xdr:col>3</xdr:col>
      <xdr:colOff>304800</xdr:colOff>
      <xdr:row>559</xdr:row>
      <xdr:rowOff>6350</xdr:rowOff>
    </xdr:to>
    <xdr:sp macro="" textlink="">
      <xdr:nvSpPr>
        <xdr:cNvPr id="1446" name="오른쪽으로 구부러진 화살표 144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552</xdr:row>
      <xdr:rowOff>76200</xdr:rowOff>
    </xdr:from>
    <xdr:to>
      <xdr:col>4</xdr:col>
      <xdr:colOff>0</xdr:colOff>
      <xdr:row>552</xdr:row>
      <xdr:rowOff>190500</xdr:rowOff>
    </xdr:to>
    <xdr:sp macro="" textlink="">
      <xdr:nvSpPr>
        <xdr:cNvPr id="1447" name="오른쪽 화살표 144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559</xdr:row>
      <xdr:rowOff>38100</xdr:rowOff>
    </xdr:from>
    <xdr:to>
      <xdr:col>3</xdr:col>
      <xdr:colOff>304800</xdr:colOff>
      <xdr:row>559</xdr:row>
      <xdr:rowOff>165100</xdr:rowOff>
    </xdr:to>
    <xdr:sp macro="" textlink="">
      <xdr:nvSpPr>
        <xdr:cNvPr id="1448" name="왼쪽 화살표 144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562</xdr:row>
      <xdr:rowOff>0</xdr:rowOff>
    </xdr:from>
    <xdr:to>
      <xdr:col>3</xdr:col>
      <xdr:colOff>304800</xdr:colOff>
      <xdr:row>564</xdr:row>
      <xdr:rowOff>6350</xdr:rowOff>
    </xdr:to>
    <xdr:sp macro="" textlink="">
      <xdr:nvSpPr>
        <xdr:cNvPr id="1449" name="오른쪽으로 구부러진 화살표 144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564</xdr:row>
      <xdr:rowOff>0</xdr:rowOff>
    </xdr:from>
    <xdr:to>
      <xdr:col>3</xdr:col>
      <xdr:colOff>304800</xdr:colOff>
      <xdr:row>566</xdr:row>
      <xdr:rowOff>6350</xdr:rowOff>
    </xdr:to>
    <xdr:sp macro="" textlink="">
      <xdr:nvSpPr>
        <xdr:cNvPr id="1450" name="오른쪽으로 구부러진 화살표 144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566</xdr:row>
      <xdr:rowOff>0</xdr:rowOff>
    </xdr:from>
    <xdr:to>
      <xdr:col>3</xdr:col>
      <xdr:colOff>304800</xdr:colOff>
      <xdr:row>568</xdr:row>
      <xdr:rowOff>6350</xdr:rowOff>
    </xdr:to>
    <xdr:sp macro="" textlink="">
      <xdr:nvSpPr>
        <xdr:cNvPr id="1451" name="오른쪽으로 구부러진 화살표 145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562</xdr:row>
      <xdr:rowOff>0</xdr:rowOff>
    </xdr:from>
    <xdr:to>
      <xdr:col>3</xdr:col>
      <xdr:colOff>304800</xdr:colOff>
      <xdr:row>564</xdr:row>
      <xdr:rowOff>6350</xdr:rowOff>
    </xdr:to>
    <xdr:sp macro="" textlink="">
      <xdr:nvSpPr>
        <xdr:cNvPr id="1452" name="오른쪽으로 구부러진 화살표 145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564</xdr:row>
      <xdr:rowOff>0</xdr:rowOff>
    </xdr:from>
    <xdr:to>
      <xdr:col>3</xdr:col>
      <xdr:colOff>304800</xdr:colOff>
      <xdr:row>566</xdr:row>
      <xdr:rowOff>6350</xdr:rowOff>
    </xdr:to>
    <xdr:sp macro="" textlink="">
      <xdr:nvSpPr>
        <xdr:cNvPr id="1453" name="오른쪽으로 구부러진 화살표 145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566</xdr:row>
      <xdr:rowOff>0</xdr:rowOff>
    </xdr:from>
    <xdr:to>
      <xdr:col>3</xdr:col>
      <xdr:colOff>304800</xdr:colOff>
      <xdr:row>568</xdr:row>
      <xdr:rowOff>6350</xdr:rowOff>
    </xdr:to>
    <xdr:sp macro="" textlink="">
      <xdr:nvSpPr>
        <xdr:cNvPr id="1454" name="오른쪽으로 구부러진 화살표 145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561</xdr:row>
      <xdr:rowOff>76200</xdr:rowOff>
    </xdr:from>
    <xdr:to>
      <xdr:col>4</xdr:col>
      <xdr:colOff>0</xdr:colOff>
      <xdr:row>561</xdr:row>
      <xdr:rowOff>190500</xdr:rowOff>
    </xdr:to>
    <xdr:sp macro="" textlink="">
      <xdr:nvSpPr>
        <xdr:cNvPr id="1455" name="오른쪽 화살표 145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568</xdr:row>
      <xdr:rowOff>38100</xdr:rowOff>
    </xdr:from>
    <xdr:to>
      <xdr:col>3</xdr:col>
      <xdr:colOff>304800</xdr:colOff>
      <xdr:row>568</xdr:row>
      <xdr:rowOff>165100</xdr:rowOff>
    </xdr:to>
    <xdr:sp macro="" textlink="">
      <xdr:nvSpPr>
        <xdr:cNvPr id="1456" name="왼쪽 화살표 145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571</xdr:row>
      <xdr:rowOff>0</xdr:rowOff>
    </xdr:from>
    <xdr:to>
      <xdr:col>3</xdr:col>
      <xdr:colOff>304800</xdr:colOff>
      <xdr:row>573</xdr:row>
      <xdr:rowOff>6350</xdr:rowOff>
    </xdr:to>
    <xdr:sp macro="" textlink="">
      <xdr:nvSpPr>
        <xdr:cNvPr id="1457" name="오른쪽으로 구부러진 화살표 145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573</xdr:row>
      <xdr:rowOff>0</xdr:rowOff>
    </xdr:from>
    <xdr:to>
      <xdr:col>3</xdr:col>
      <xdr:colOff>304800</xdr:colOff>
      <xdr:row>575</xdr:row>
      <xdr:rowOff>6350</xdr:rowOff>
    </xdr:to>
    <xdr:sp macro="" textlink="">
      <xdr:nvSpPr>
        <xdr:cNvPr id="1458" name="오른쪽으로 구부러진 화살표 145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575</xdr:row>
      <xdr:rowOff>0</xdr:rowOff>
    </xdr:from>
    <xdr:to>
      <xdr:col>3</xdr:col>
      <xdr:colOff>304800</xdr:colOff>
      <xdr:row>577</xdr:row>
      <xdr:rowOff>6350</xdr:rowOff>
    </xdr:to>
    <xdr:sp macro="" textlink="">
      <xdr:nvSpPr>
        <xdr:cNvPr id="1459" name="오른쪽으로 구부러진 화살표 145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571</xdr:row>
      <xdr:rowOff>0</xdr:rowOff>
    </xdr:from>
    <xdr:to>
      <xdr:col>3</xdr:col>
      <xdr:colOff>304800</xdr:colOff>
      <xdr:row>573</xdr:row>
      <xdr:rowOff>6350</xdr:rowOff>
    </xdr:to>
    <xdr:sp macro="" textlink="">
      <xdr:nvSpPr>
        <xdr:cNvPr id="1460" name="오른쪽으로 구부러진 화살표 145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573</xdr:row>
      <xdr:rowOff>0</xdr:rowOff>
    </xdr:from>
    <xdr:to>
      <xdr:col>3</xdr:col>
      <xdr:colOff>304800</xdr:colOff>
      <xdr:row>575</xdr:row>
      <xdr:rowOff>6350</xdr:rowOff>
    </xdr:to>
    <xdr:sp macro="" textlink="">
      <xdr:nvSpPr>
        <xdr:cNvPr id="1461" name="오른쪽으로 구부러진 화살표 146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575</xdr:row>
      <xdr:rowOff>0</xdr:rowOff>
    </xdr:from>
    <xdr:to>
      <xdr:col>3</xdr:col>
      <xdr:colOff>304800</xdr:colOff>
      <xdr:row>577</xdr:row>
      <xdr:rowOff>6350</xdr:rowOff>
    </xdr:to>
    <xdr:sp macro="" textlink="">
      <xdr:nvSpPr>
        <xdr:cNvPr id="1462" name="오른쪽으로 구부러진 화살표 146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570</xdr:row>
      <xdr:rowOff>76200</xdr:rowOff>
    </xdr:from>
    <xdr:to>
      <xdr:col>4</xdr:col>
      <xdr:colOff>0</xdr:colOff>
      <xdr:row>570</xdr:row>
      <xdr:rowOff>190500</xdr:rowOff>
    </xdr:to>
    <xdr:sp macro="" textlink="">
      <xdr:nvSpPr>
        <xdr:cNvPr id="1463" name="오른쪽 화살표 146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577</xdr:row>
      <xdr:rowOff>38100</xdr:rowOff>
    </xdr:from>
    <xdr:to>
      <xdr:col>3</xdr:col>
      <xdr:colOff>304800</xdr:colOff>
      <xdr:row>577</xdr:row>
      <xdr:rowOff>165100</xdr:rowOff>
    </xdr:to>
    <xdr:sp macro="" textlink="">
      <xdr:nvSpPr>
        <xdr:cNvPr id="1464" name="왼쪽 화살표 146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580</xdr:row>
      <xdr:rowOff>0</xdr:rowOff>
    </xdr:from>
    <xdr:to>
      <xdr:col>3</xdr:col>
      <xdr:colOff>304800</xdr:colOff>
      <xdr:row>582</xdr:row>
      <xdr:rowOff>6350</xdr:rowOff>
    </xdr:to>
    <xdr:sp macro="" textlink="">
      <xdr:nvSpPr>
        <xdr:cNvPr id="1465" name="오른쪽으로 구부러진 화살표 146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582</xdr:row>
      <xdr:rowOff>0</xdr:rowOff>
    </xdr:from>
    <xdr:to>
      <xdr:col>3</xdr:col>
      <xdr:colOff>304800</xdr:colOff>
      <xdr:row>584</xdr:row>
      <xdr:rowOff>6350</xdr:rowOff>
    </xdr:to>
    <xdr:sp macro="" textlink="">
      <xdr:nvSpPr>
        <xdr:cNvPr id="1466" name="오른쪽으로 구부러진 화살표 146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584</xdr:row>
      <xdr:rowOff>0</xdr:rowOff>
    </xdr:from>
    <xdr:to>
      <xdr:col>3</xdr:col>
      <xdr:colOff>304800</xdr:colOff>
      <xdr:row>586</xdr:row>
      <xdr:rowOff>6350</xdr:rowOff>
    </xdr:to>
    <xdr:sp macro="" textlink="">
      <xdr:nvSpPr>
        <xdr:cNvPr id="1467" name="오른쪽으로 구부러진 화살표 146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580</xdr:row>
      <xdr:rowOff>0</xdr:rowOff>
    </xdr:from>
    <xdr:to>
      <xdr:col>3</xdr:col>
      <xdr:colOff>304800</xdr:colOff>
      <xdr:row>582</xdr:row>
      <xdr:rowOff>6350</xdr:rowOff>
    </xdr:to>
    <xdr:sp macro="" textlink="">
      <xdr:nvSpPr>
        <xdr:cNvPr id="1468" name="오른쪽으로 구부러진 화살표 146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582</xdr:row>
      <xdr:rowOff>0</xdr:rowOff>
    </xdr:from>
    <xdr:to>
      <xdr:col>3</xdr:col>
      <xdr:colOff>304800</xdr:colOff>
      <xdr:row>584</xdr:row>
      <xdr:rowOff>6350</xdr:rowOff>
    </xdr:to>
    <xdr:sp macro="" textlink="">
      <xdr:nvSpPr>
        <xdr:cNvPr id="1469" name="오른쪽으로 구부러진 화살표 146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584</xdr:row>
      <xdr:rowOff>0</xdr:rowOff>
    </xdr:from>
    <xdr:to>
      <xdr:col>3</xdr:col>
      <xdr:colOff>304800</xdr:colOff>
      <xdr:row>586</xdr:row>
      <xdr:rowOff>6350</xdr:rowOff>
    </xdr:to>
    <xdr:sp macro="" textlink="">
      <xdr:nvSpPr>
        <xdr:cNvPr id="1470" name="오른쪽으로 구부러진 화살표 146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579</xdr:row>
      <xdr:rowOff>76200</xdr:rowOff>
    </xdr:from>
    <xdr:to>
      <xdr:col>4</xdr:col>
      <xdr:colOff>0</xdr:colOff>
      <xdr:row>579</xdr:row>
      <xdr:rowOff>190500</xdr:rowOff>
    </xdr:to>
    <xdr:sp macro="" textlink="">
      <xdr:nvSpPr>
        <xdr:cNvPr id="1471" name="오른쪽 화살표 147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586</xdr:row>
      <xdr:rowOff>38100</xdr:rowOff>
    </xdr:from>
    <xdr:to>
      <xdr:col>3</xdr:col>
      <xdr:colOff>304800</xdr:colOff>
      <xdr:row>586</xdr:row>
      <xdr:rowOff>165100</xdr:rowOff>
    </xdr:to>
    <xdr:sp macro="" textlink="">
      <xdr:nvSpPr>
        <xdr:cNvPr id="1472" name="왼쪽 화살표 147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589</xdr:row>
      <xdr:rowOff>0</xdr:rowOff>
    </xdr:from>
    <xdr:to>
      <xdr:col>3</xdr:col>
      <xdr:colOff>304800</xdr:colOff>
      <xdr:row>591</xdr:row>
      <xdr:rowOff>6350</xdr:rowOff>
    </xdr:to>
    <xdr:sp macro="" textlink="">
      <xdr:nvSpPr>
        <xdr:cNvPr id="1473" name="오른쪽으로 구부러진 화살표 147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591</xdr:row>
      <xdr:rowOff>0</xdr:rowOff>
    </xdr:from>
    <xdr:to>
      <xdr:col>3</xdr:col>
      <xdr:colOff>304800</xdr:colOff>
      <xdr:row>593</xdr:row>
      <xdr:rowOff>6350</xdr:rowOff>
    </xdr:to>
    <xdr:sp macro="" textlink="">
      <xdr:nvSpPr>
        <xdr:cNvPr id="1474" name="오른쪽으로 구부러진 화살표 147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593</xdr:row>
      <xdr:rowOff>0</xdr:rowOff>
    </xdr:from>
    <xdr:to>
      <xdr:col>3</xdr:col>
      <xdr:colOff>304800</xdr:colOff>
      <xdr:row>595</xdr:row>
      <xdr:rowOff>6350</xdr:rowOff>
    </xdr:to>
    <xdr:sp macro="" textlink="">
      <xdr:nvSpPr>
        <xdr:cNvPr id="1475" name="오른쪽으로 구부러진 화살표 147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589</xdr:row>
      <xdr:rowOff>0</xdr:rowOff>
    </xdr:from>
    <xdr:to>
      <xdr:col>3</xdr:col>
      <xdr:colOff>304800</xdr:colOff>
      <xdr:row>591</xdr:row>
      <xdr:rowOff>6350</xdr:rowOff>
    </xdr:to>
    <xdr:sp macro="" textlink="">
      <xdr:nvSpPr>
        <xdr:cNvPr id="1476" name="오른쪽으로 구부러진 화살표 147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591</xdr:row>
      <xdr:rowOff>0</xdr:rowOff>
    </xdr:from>
    <xdr:to>
      <xdr:col>3</xdr:col>
      <xdr:colOff>304800</xdr:colOff>
      <xdr:row>593</xdr:row>
      <xdr:rowOff>6350</xdr:rowOff>
    </xdr:to>
    <xdr:sp macro="" textlink="">
      <xdr:nvSpPr>
        <xdr:cNvPr id="1477" name="오른쪽으로 구부러진 화살표 147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593</xdr:row>
      <xdr:rowOff>0</xdr:rowOff>
    </xdr:from>
    <xdr:to>
      <xdr:col>3</xdr:col>
      <xdr:colOff>304800</xdr:colOff>
      <xdr:row>595</xdr:row>
      <xdr:rowOff>6350</xdr:rowOff>
    </xdr:to>
    <xdr:sp macro="" textlink="">
      <xdr:nvSpPr>
        <xdr:cNvPr id="1478" name="오른쪽으로 구부러진 화살표 147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588</xdr:row>
      <xdr:rowOff>76200</xdr:rowOff>
    </xdr:from>
    <xdr:to>
      <xdr:col>4</xdr:col>
      <xdr:colOff>0</xdr:colOff>
      <xdr:row>588</xdr:row>
      <xdr:rowOff>190500</xdr:rowOff>
    </xdr:to>
    <xdr:sp macro="" textlink="">
      <xdr:nvSpPr>
        <xdr:cNvPr id="1479" name="오른쪽 화살표 147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595</xdr:row>
      <xdr:rowOff>38100</xdr:rowOff>
    </xdr:from>
    <xdr:to>
      <xdr:col>3</xdr:col>
      <xdr:colOff>304800</xdr:colOff>
      <xdr:row>595</xdr:row>
      <xdr:rowOff>165100</xdr:rowOff>
    </xdr:to>
    <xdr:sp macro="" textlink="">
      <xdr:nvSpPr>
        <xdr:cNvPr id="1480" name="왼쪽 화살표 147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598</xdr:row>
      <xdr:rowOff>0</xdr:rowOff>
    </xdr:from>
    <xdr:to>
      <xdr:col>3</xdr:col>
      <xdr:colOff>304800</xdr:colOff>
      <xdr:row>600</xdr:row>
      <xdr:rowOff>6350</xdr:rowOff>
    </xdr:to>
    <xdr:sp macro="" textlink="">
      <xdr:nvSpPr>
        <xdr:cNvPr id="1481" name="오른쪽으로 구부러진 화살표 148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600</xdr:row>
      <xdr:rowOff>0</xdr:rowOff>
    </xdr:from>
    <xdr:to>
      <xdr:col>3</xdr:col>
      <xdr:colOff>304800</xdr:colOff>
      <xdr:row>602</xdr:row>
      <xdr:rowOff>6350</xdr:rowOff>
    </xdr:to>
    <xdr:sp macro="" textlink="">
      <xdr:nvSpPr>
        <xdr:cNvPr id="1482" name="오른쪽으로 구부러진 화살표 148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602</xdr:row>
      <xdr:rowOff>0</xdr:rowOff>
    </xdr:from>
    <xdr:to>
      <xdr:col>3</xdr:col>
      <xdr:colOff>304800</xdr:colOff>
      <xdr:row>604</xdr:row>
      <xdr:rowOff>6350</xdr:rowOff>
    </xdr:to>
    <xdr:sp macro="" textlink="">
      <xdr:nvSpPr>
        <xdr:cNvPr id="1483" name="오른쪽으로 구부러진 화살표 148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598</xdr:row>
      <xdr:rowOff>0</xdr:rowOff>
    </xdr:from>
    <xdr:to>
      <xdr:col>3</xdr:col>
      <xdr:colOff>304800</xdr:colOff>
      <xdr:row>600</xdr:row>
      <xdr:rowOff>6350</xdr:rowOff>
    </xdr:to>
    <xdr:sp macro="" textlink="">
      <xdr:nvSpPr>
        <xdr:cNvPr id="1484" name="오른쪽으로 구부러진 화살표 148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600</xdr:row>
      <xdr:rowOff>0</xdr:rowOff>
    </xdr:from>
    <xdr:to>
      <xdr:col>3</xdr:col>
      <xdr:colOff>304800</xdr:colOff>
      <xdr:row>602</xdr:row>
      <xdr:rowOff>6350</xdr:rowOff>
    </xdr:to>
    <xdr:sp macro="" textlink="">
      <xdr:nvSpPr>
        <xdr:cNvPr id="1485" name="오른쪽으로 구부러진 화살표 148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602</xdr:row>
      <xdr:rowOff>0</xdr:rowOff>
    </xdr:from>
    <xdr:to>
      <xdr:col>3</xdr:col>
      <xdr:colOff>304800</xdr:colOff>
      <xdr:row>604</xdr:row>
      <xdr:rowOff>6350</xdr:rowOff>
    </xdr:to>
    <xdr:sp macro="" textlink="">
      <xdr:nvSpPr>
        <xdr:cNvPr id="1486" name="오른쪽으로 구부러진 화살표 148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597</xdr:row>
      <xdr:rowOff>76200</xdr:rowOff>
    </xdr:from>
    <xdr:to>
      <xdr:col>4</xdr:col>
      <xdr:colOff>0</xdr:colOff>
      <xdr:row>597</xdr:row>
      <xdr:rowOff>190500</xdr:rowOff>
    </xdr:to>
    <xdr:sp macro="" textlink="">
      <xdr:nvSpPr>
        <xdr:cNvPr id="1487" name="오른쪽 화살표 148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604</xdr:row>
      <xdr:rowOff>38100</xdr:rowOff>
    </xdr:from>
    <xdr:to>
      <xdr:col>3</xdr:col>
      <xdr:colOff>304800</xdr:colOff>
      <xdr:row>604</xdr:row>
      <xdr:rowOff>165100</xdr:rowOff>
    </xdr:to>
    <xdr:sp macro="" textlink="">
      <xdr:nvSpPr>
        <xdr:cNvPr id="1488" name="왼쪽 화살표 148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607</xdr:row>
      <xdr:rowOff>0</xdr:rowOff>
    </xdr:from>
    <xdr:to>
      <xdr:col>3</xdr:col>
      <xdr:colOff>304800</xdr:colOff>
      <xdr:row>609</xdr:row>
      <xdr:rowOff>6350</xdr:rowOff>
    </xdr:to>
    <xdr:sp macro="" textlink="">
      <xdr:nvSpPr>
        <xdr:cNvPr id="1489" name="오른쪽으로 구부러진 화살표 148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609</xdr:row>
      <xdr:rowOff>0</xdr:rowOff>
    </xdr:from>
    <xdr:to>
      <xdr:col>3</xdr:col>
      <xdr:colOff>304800</xdr:colOff>
      <xdr:row>611</xdr:row>
      <xdr:rowOff>6350</xdr:rowOff>
    </xdr:to>
    <xdr:sp macro="" textlink="">
      <xdr:nvSpPr>
        <xdr:cNvPr id="1490" name="오른쪽으로 구부러진 화살표 148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611</xdr:row>
      <xdr:rowOff>0</xdr:rowOff>
    </xdr:from>
    <xdr:to>
      <xdr:col>3</xdr:col>
      <xdr:colOff>304800</xdr:colOff>
      <xdr:row>613</xdr:row>
      <xdr:rowOff>6350</xdr:rowOff>
    </xdr:to>
    <xdr:sp macro="" textlink="">
      <xdr:nvSpPr>
        <xdr:cNvPr id="1491" name="오른쪽으로 구부러진 화살표 149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607</xdr:row>
      <xdr:rowOff>0</xdr:rowOff>
    </xdr:from>
    <xdr:to>
      <xdr:col>3</xdr:col>
      <xdr:colOff>304800</xdr:colOff>
      <xdr:row>609</xdr:row>
      <xdr:rowOff>6350</xdr:rowOff>
    </xdr:to>
    <xdr:sp macro="" textlink="">
      <xdr:nvSpPr>
        <xdr:cNvPr id="1492" name="오른쪽으로 구부러진 화살표 149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609</xdr:row>
      <xdr:rowOff>0</xdr:rowOff>
    </xdr:from>
    <xdr:to>
      <xdr:col>3</xdr:col>
      <xdr:colOff>304800</xdr:colOff>
      <xdr:row>611</xdr:row>
      <xdr:rowOff>6350</xdr:rowOff>
    </xdr:to>
    <xdr:sp macro="" textlink="">
      <xdr:nvSpPr>
        <xdr:cNvPr id="1493" name="오른쪽으로 구부러진 화살표 149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611</xdr:row>
      <xdr:rowOff>0</xdr:rowOff>
    </xdr:from>
    <xdr:to>
      <xdr:col>3</xdr:col>
      <xdr:colOff>304800</xdr:colOff>
      <xdr:row>613</xdr:row>
      <xdr:rowOff>6350</xdr:rowOff>
    </xdr:to>
    <xdr:sp macro="" textlink="">
      <xdr:nvSpPr>
        <xdr:cNvPr id="1494" name="오른쪽으로 구부러진 화살표 149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606</xdr:row>
      <xdr:rowOff>76200</xdr:rowOff>
    </xdr:from>
    <xdr:to>
      <xdr:col>4</xdr:col>
      <xdr:colOff>0</xdr:colOff>
      <xdr:row>606</xdr:row>
      <xdr:rowOff>190500</xdr:rowOff>
    </xdr:to>
    <xdr:sp macro="" textlink="">
      <xdr:nvSpPr>
        <xdr:cNvPr id="1495" name="오른쪽 화살표 149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613</xdr:row>
      <xdr:rowOff>38100</xdr:rowOff>
    </xdr:from>
    <xdr:to>
      <xdr:col>3</xdr:col>
      <xdr:colOff>304800</xdr:colOff>
      <xdr:row>613</xdr:row>
      <xdr:rowOff>165100</xdr:rowOff>
    </xdr:to>
    <xdr:sp macro="" textlink="">
      <xdr:nvSpPr>
        <xdr:cNvPr id="1496" name="왼쪽 화살표 149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616</xdr:row>
      <xdr:rowOff>0</xdr:rowOff>
    </xdr:from>
    <xdr:to>
      <xdr:col>3</xdr:col>
      <xdr:colOff>304800</xdr:colOff>
      <xdr:row>618</xdr:row>
      <xdr:rowOff>6350</xdr:rowOff>
    </xdr:to>
    <xdr:sp macro="" textlink="">
      <xdr:nvSpPr>
        <xdr:cNvPr id="1497" name="오른쪽으로 구부러진 화살표 149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618</xdr:row>
      <xdr:rowOff>0</xdr:rowOff>
    </xdr:from>
    <xdr:to>
      <xdr:col>3</xdr:col>
      <xdr:colOff>304800</xdr:colOff>
      <xdr:row>620</xdr:row>
      <xdr:rowOff>6350</xdr:rowOff>
    </xdr:to>
    <xdr:sp macro="" textlink="">
      <xdr:nvSpPr>
        <xdr:cNvPr id="1498" name="오른쪽으로 구부러진 화살표 149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620</xdr:row>
      <xdr:rowOff>0</xdr:rowOff>
    </xdr:from>
    <xdr:to>
      <xdr:col>3</xdr:col>
      <xdr:colOff>304800</xdr:colOff>
      <xdr:row>622</xdr:row>
      <xdr:rowOff>6350</xdr:rowOff>
    </xdr:to>
    <xdr:sp macro="" textlink="">
      <xdr:nvSpPr>
        <xdr:cNvPr id="1499" name="오른쪽으로 구부러진 화살표 149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616</xdr:row>
      <xdr:rowOff>0</xdr:rowOff>
    </xdr:from>
    <xdr:to>
      <xdr:col>3</xdr:col>
      <xdr:colOff>304800</xdr:colOff>
      <xdr:row>618</xdr:row>
      <xdr:rowOff>6350</xdr:rowOff>
    </xdr:to>
    <xdr:sp macro="" textlink="">
      <xdr:nvSpPr>
        <xdr:cNvPr id="1500" name="오른쪽으로 구부러진 화살표 149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618</xdr:row>
      <xdr:rowOff>0</xdr:rowOff>
    </xdr:from>
    <xdr:to>
      <xdr:col>3</xdr:col>
      <xdr:colOff>304800</xdr:colOff>
      <xdr:row>620</xdr:row>
      <xdr:rowOff>6350</xdr:rowOff>
    </xdr:to>
    <xdr:sp macro="" textlink="">
      <xdr:nvSpPr>
        <xdr:cNvPr id="1501" name="오른쪽으로 구부러진 화살표 150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620</xdr:row>
      <xdr:rowOff>0</xdr:rowOff>
    </xdr:from>
    <xdr:to>
      <xdr:col>3</xdr:col>
      <xdr:colOff>304800</xdr:colOff>
      <xdr:row>622</xdr:row>
      <xdr:rowOff>6350</xdr:rowOff>
    </xdr:to>
    <xdr:sp macro="" textlink="">
      <xdr:nvSpPr>
        <xdr:cNvPr id="1502" name="오른쪽으로 구부러진 화살표 150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615</xdr:row>
      <xdr:rowOff>76200</xdr:rowOff>
    </xdr:from>
    <xdr:to>
      <xdr:col>4</xdr:col>
      <xdr:colOff>0</xdr:colOff>
      <xdr:row>615</xdr:row>
      <xdr:rowOff>190500</xdr:rowOff>
    </xdr:to>
    <xdr:sp macro="" textlink="">
      <xdr:nvSpPr>
        <xdr:cNvPr id="1503" name="오른쪽 화살표 150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622</xdr:row>
      <xdr:rowOff>38100</xdr:rowOff>
    </xdr:from>
    <xdr:to>
      <xdr:col>3</xdr:col>
      <xdr:colOff>304800</xdr:colOff>
      <xdr:row>622</xdr:row>
      <xdr:rowOff>165100</xdr:rowOff>
    </xdr:to>
    <xdr:sp macro="" textlink="">
      <xdr:nvSpPr>
        <xdr:cNvPr id="1504" name="왼쪽 화살표 150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625</xdr:row>
      <xdr:rowOff>0</xdr:rowOff>
    </xdr:from>
    <xdr:to>
      <xdr:col>3</xdr:col>
      <xdr:colOff>304800</xdr:colOff>
      <xdr:row>627</xdr:row>
      <xdr:rowOff>6350</xdr:rowOff>
    </xdr:to>
    <xdr:sp macro="" textlink="">
      <xdr:nvSpPr>
        <xdr:cNvPr id="1505" name="오른쪽으로 구부러진 화살표 150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627</xdr:row>
      <xdr:rowOff>0</xdr:rowOff>
    </xdr:from>
    <xdr:to>
      <xdr:col>3</xdr:col>
      <xdr:colOff>304800</xdr:colOff>
      <xdr:row>629</xdr:row>
      <xdr:rowOff>6350</xdr:rowOff>
    </xdr:to>
    <xdr:sp macro="" textlink="">
      <xdr:nvSpPr>
        <xdr:cNvPr id="1506" name="오른쪽으로 구부러진 화살표 150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629</xdr:row>
      <xdr:rowOff>0</xdr:rowOff>
    </xdr:from>
    <xdr:to>
      <xdr:col>3</xdr:col>
      <xdr:colOff>304800</xdr:colOff>
      <xdr:row>631</xdr:row>
      <xdr:rowOff>6350</xdr:rowOff>
    </xdr:to>
    <xdr:sp macro="" textlink="">
      <xdr:nvSpPr>
        <xdr:cNvPr id="1507" name="오른쪽으로 구부러진 화살표 150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625</xdr:row>
      <xdr:rowOff>0</xdr:rowOff>
    </xdr:from>
    <xdr:to>
      <xdr:col>3</xdr:col>
      <xdr:colOff>304800</xdr:colOff>
      <xdr:row>627</xdr:row>
      <xdr:rowOff>6350</xdr:rowOff>
    </xdr:to>
    <xdr:sp macro="" textlink="">
      <xdr:nvSpPr>
        <xdr:cNvPr id="1508" name="오른쪽으로 구부러진 화살표 150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627</xdr:row>
      <xdr:rowOff>0</xdr:rowOff>
    </xdr:from>
    <xdr:to>
      <xdr:col>3</xdr:col>
      <xdr:colOff>304800</xdr:colOff>
      <xdr:row>629</xdr:row>
      <xdr:rowOff>6350</xdr:rowOff>
    </xdr:to>
    <xdr:sp macro="" textlink="">
      <xdr:nvSpPr>
        <xdr:cNvPr id="1509" name="오른쪽으로 구부러진 화살표 150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629</xdr:row>
      <xdr:rowOff>0</xdr:rowOff>
    </xdr:from>
    <xdr:to>
      <xdr:col>3</xdr:col>
      <xdr:colOff>304800</xdr:colOff>
      <xdr:row>631</xdr:row>
      <xdr:rowOff>6350</xdr:rowOff>
    </xdr:to>
    <xdr:sp macro="" textlink="">
      <xdr:nvSpPr>
        <xdr:cNvPr id="1510" name="오른쪽으로 구부러진 화살표 150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624</xdr:row>
      <xdr:rowOff>76200</xdr:rowOff>
    </xdr:from>
    <xdr:to>
      <xdr:col>4</xdr:col>
      <xdr:colOff>0</xdr:colOff>
      <xdr:row>624</xdr:row>
      <xdr:rowOff>190500</xdr:rowOff>
    </xdr:to>
    <xdr:sp macro="" textlink="">
      <xdr:nvSpPr>
        <xdr:cNvPr id="1511" name="오른쪽 화살표 151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631</xdr:row>
      <xdr:rowOff>38100</xdr:rowOff>
    </xdr:from>
    <xdr:to>
      <xdr:col>3</xdr:col>
      <xdr:colOff>304800</xdr:colOff>
      <xdr:row>631</xdr:row>
      <xdr:rowOff>165100</xdr:rowOff>
    </xdr:to>
    <xdr:sp macro="" textlink="">
      <xdr:nvSpPr>
        <xdr:cNvPr id="1512" name="왼쪽 화살표 151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634</xdr:row>
      <xdr:rowOff>0</xdr:rowOff>
    </xdr:from>
    <xdr:to>
      <xdr:col>3</xdr:col>
      <xdr:colOff>304800</xdr:colOff>
      <xdr:row>636</xdr:row>
      <xdr:rowOff>6350</xdr:rowOff>
    </xdr:to>
    <xdr:sp macro="" textlink="">
      <xdr:nvSpPr>
        <xdr:cNvPr id="1513" name="오른쪽으로 구부러진 화살표 151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636</xdr:row>
      <xdr:rowOff>0</xdr:rowOff>
    </xdr:from>
    <xdr:to>
      <xdr:col>3</xdr:col>
      <xdr:colOff>304800</xdr:colOff>
      <xdr:row>638</xdr:row>
      <xdr:rowOff>6350</xdr:rowOff>
    </xdr:to>
    <xdr:sp macro="" textlink="">
      <xdr:nvSpPr>
        <xdr:cNvPr id="1514" name="오른쪽으로 구부러진 화살표 151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638</xdr:row>
      <xdr:rowOff>0</xdr:rowOff>
    </xdr:from>
    <xdr:to>
      <xdr:col>3</xdr:col>
      <xdr:colOff>304800</xdr:colOff>
      <xdr:row>640</xdr:row>
      <xdr:rowOff>6350</xdr:rowOff>
    </xdr:to>
    <xdr:sp macro="" textlink="">
      <xdr:nvSpPr>
        <xdr:cNvPr id="1515" name="오른쪽으로 구부러진 화살표 151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634</xdr:row>
      <xdr:rowOff>0</xdr:rowOff>
    </xdr:from>
    <xdr:to>
      <xdr:col>3</xdr:col>
      <xdr:colOff>304800</xdr:colOff>
      <xdr:row>636</xdr:row>
      <xdr:rowOff>6350</xdr:rowOff>
    </xdr:to>
    <xdr:sp macro="" textlink="">
      <xdr:nvSpPr>
        <xdr:cNvPr id="1516" name="오른쪽으로 구부러진 화살표 151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636</xdr:row>
      <xdr:rowOff>0</xdr:rowOff>
    </xdr:from>
    <xdr:to>
      <xdr:col>3</xdr:col>
      <xdr:colOff>304800</xdr:colOff>
      <xdr:row>638</xdr:row>
      <xdr:rowOff>6350</xdr:rowOff>
    </xdr:to>
    <xdr:sp macro="" textlink="">
      <xdr:nvSpPr>
        <xdr:cNvPr id="1517" name="오른쪽으로 구부러진 화살표 151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638</xdr:row>
      <xdr:rowOff>0</xdr:rowOff>
    </xdr:from>
    <xdr:to>
      <xdr:col>3</xdr:col>
      <xdr:colOff>304800</xdr:colOff>
      <xdr:row>640</xdr:row>
      <xdr:rowOff>6350</xdr:rowOff>
    </xdr:to>
    <xdr:sp macro="" textlink="">
      <xdr:nvSpPr>
        <xdr:cNvPr id="1518" name="오른쪽으로 구부러진 화살표 151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633</xdr:row>
      <xdr:rowOff>76200</xdr:rowOff>
    </xdr:from>
    <xdr:to>
      <xdr:col>4</xdr:col>
      <xdr:colOff>0</xdr:colOff>
      <xdr:row>633</xdr:row>
      <xdr:rowOff>190500</xdr:rowOff>
    </xdr:to>
    <xdr:sp macro="" textlink="">
      <xdr:nvSpPr>
        <xdr:cNvPr id="1519" name="오른쪽 화살표 151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640</xdr:row>
      <xdr:rowOff>38100</xdr:rowOff>
    </xdr:from>
    <xdr:to>
      <xdr:col>3</xdr:col>
      <xdr:colOff>304800</xdr:colOff>
      <xdr:row>640</xdr:row>
      <xdr:rowOff>165100</xdr:rowOff>
    </xdr:to>
    <xdr:sp macro="" textlink="">
      <xdr:nvSpPr>
        <xdr:cNvPr id="1520" name="왼쪽 화살표 151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643</xdr:row>
      <xdr:rowOff>0</xdr:rowOff>
    </xdr:from>
    <xdr:to>
      <xdr:col>3</xdr:col>
      <xdr:colOff>304800</xdr:colOff>
      <xdr:row>645</xdr:row>
      <xdr:rowOff>6350</xdr:rowOff>
    </xdr:to>
    <xdr:sp macro="" textlink="">
      <xdr:nvSpPr>
        <xdr:cNvPr id="1521" name="오른쪽으로 구부러진 화살표 152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645</xdr:row>
      <xdr:rowOff>0</xdr:rowOff>
    </xdr:from>
    <xdr:to>
      <xdr:col>3</xdr:col>
      <xdr:colOff>304800</xdr:colOff>
      <xdr:row>647</xdr:row>
      <xdr:rowOff>6350</xdr:rowOff>
    </xdr:to>
    <xdr:sp macro="" textlink="">
      <xdr:nvSpPr>
        <xdr:cNvPr id="1522" name="오른쪽으로 구부러진 화살표 152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647</xdr:row>
      <xdr:rowOff>0</xdr:rowOff>
    </xdr:from>
    <xdr:to>
      <xdr:col>3</xdr:col>
      <xdr:colOff>304800</xdr:colOff>
      <xdr:row>649</xdr:row>
      <xdr:rowOff>6350</xdr:rowOff>
    </xdr:to>
    <xdr:sp macro="" textlink="">
      <xdr:nvSpPr>
        <xdr:cNvPr id="1523" name="오른쪽으로 구부러진 화살표 152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643</xdr:row>
      <xdr:rowOff>0</xdr:rowOff>
    </xdr:from>
    <xdr:to>
      <xdr:col>3</xdr:col>
      <xdr:colOff>304800</xdr:colOff>
      <xdr:row>645</xdr:row>
      <xdr:rowOff>6350</xdr:rowOff>
    </xdr:to>
    <xdr:sp macro="" textlink="">
      <xdr:nvSpPr>
        <xdr:cNvPr id="1524" name="오른쪽으로 구부러진 화살표 152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645</xdr:row>
      <xdr:rowOff>0</xdr:rowOff>
    </xdr:from>
    <xdr:to>
      <xdr:col>3</xdr:col>
      <xdr:colOff>304800</xdr:colOff>
      <xdr:row>647</xdr:row>
      <xdr:rowOff>6350</xdr:rowOff>
    </xdr:to>
    <xdr:sp macro="" textlink="">
      <xdr:nvSpPr>
        <xdr:cNvPr id="1525" name="오른쪽으로 구부러진 화살표 152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647</xdr:row>
      <xdr:rowOff>0</xdr:rowOff>
    </xdr:from>
    <xdr:to>
      <xdr:col>3</xdr:col>
      <xdr:colOff>304800</xdr:colOff>
      <xdr:row>649</xdr:row>
      <xdr:rowOff>6350</xdr:rowOff>
    </xdr:to>
    <xdr:sp macro="" textlink="">
      <xdr:nvSpPr>
        <xdr:cNvPr id="1526" name="오른쪽으로 구부러진 화살표 152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642</xdr:row>
      <xdr:rowOff>76200</xdr:rowOff>
    </xdr:from>
    <xdr:to>
      <xdr:col>4</xdr:col>
      <xdr:colOff>0</xdr:colOff>
      <xdr:row>642</xdr:row>
      <xdr:rowOff>190500</xdr:rowOff>
    </xdr:to>
    <xdr:sp macro="" textlink="">
      <xdr:nvSpPr>
        <xdr:cNvPr id="1527" name="오른쪽 화살표 152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649</xdr:row>
      <xdr:rowOff>38100</xdr:rowOff>
    </xdr:from>
    <xdr:to>
      <xdr:col>3</xdr:col>
      <xdr:colOff>304800</xdr:colOff>
      <xdr:row>649</xdr:row>
      <xdr:rowOff>165100</xdr:rowOff>
    </xdr:to>
    <xdr:sp macro="" textlink="">
      <xdr:nvSpPr>
        <xdr:cNvPr id="1528" name="왼쪽 화살표 152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652</xdr:row>
      <xdr:rowOff>0</xdr:rowOff>
    </xdr:from>
    <xdr:to>
      <xdr:col>3</xdr:col>
      <xdr:colOff>304800</xdr:colOff>
      <xdr:row>654</xdr:row>
      <xdr:rowOff>6350</xdr:rowOff>
    </xdr:to>
    <xdr:sp macro="" textlink="">
      <xdr:nvSpPr>
        <xdr:cNvPr id="1529" name="오른쪽으로 구부러진 화살표 152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654</xdr:row>
      <xdr:rowOff>0</xdr:rowOff>
    </xdr:from>
    <xdr:to>
      <xdr:col>3</xdr:col>
      <xdr:colOff>304800</xdr:colOff>
      <xdr:row>656</xdr:row>
      <xdr:rowOff>6350</xdr:rowOff>
    </xdr:to>
    <xdr:sp macro="" textlink="">
      <xdr:nvSpPr>
        <xdr:cNvPr id="1530" name="오른쪽으로 구부러진 화살표 152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656</xdr:row>
      <xdr:rowOff>0</xdr:rowOff>
    </xdr:from>
    <xdr:to>
      <xdr:col>3</xdr:col>
      <xdr:colOff>304800</xdr:colOff>
      <xdr:row>658</xdr:row>
      <xdr:rowOff>6350</xdr:rowOff>
    </xdr:to>
    <xdr:sp macro="" textlink="">
      <xdr:nvSpPr>
        <xdr:cNvPr id="1531" name="오른쪽으로 구부러진 화살표 153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652</xdr:row>
      <xdr:rowOff>0</xdr:rowOff>
    </xdr:from>
    <xdr:to>
      <xdr:col>3</xdr:col>
      <xdr:colOff>304800</xdr:colOff>
      <xdr:row>654</xdr:row>
      <xdr:rowOff>6350</xdr:rowOff>
    </xdr:to>
    <xdr:sp macro="" textlink="">
      <xdr:nvSpPr>
        <xdr:cNvPr id="1532" name="오른쪽으로 구부러진 화살표 153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654</xdr:row>
      <xdr:rowOff>0</xdr:rowOff>
    </xdr:from>
    <xdr:to>
      <xdr:col>3</xdr:col>
      <xdr:colOff>304800</xdr:colOff>
      <xdr:row>656</xdr:row>
      <xdr:rowOff>6350</xdr:rowOff>
    </xdr:to>
    <xdr:sp macro="" textlink="">
      <xdr:nvSpPr>
        <xdr:cNvPr id="1533" name="오른쪽으로 구부러진 화살표 153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656</xdr:row>
      <xdr:rowOff>0</xdr:rowOff>
    </xdr:from>
    <xdr:to>
      <xdr:col>3</xdr:col>
      <xdr:colOff>304800</xdr:colOff>
      <xdr:row>658</xdr:row>
      <xdr:rowOff>6350</xdr:rowOff>
    </xdr:to>
    <xdr:sp macro="" textlink="">
      <xdr:nvSpPr>
        <xdr:cNvPr id="1534" name="오른쪽으로 구부러진 화살표 153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651</xdr:row>
      <xdr:rowOff>76200</xdr:rowOff>
    </xdr:from>
    <xdr:to>
      <xdr:col>4</xdr:col>
      <xdr:colOff>0</xdr:colOff>
      <xdr:row>651</xdr:row>
      <xdr:rowOff>190500</xdr:rowOff>
    </xdr:to>
    <xdr:sp macro="" textlink="">
      <xdr:nvSpPr>
        <xdr:cNvPr id="1535" name="오른쪽 화살표 153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658</xdr:row>
      <xdr:rowOff>38100</xdr:rowOff>
    </xdr:from>
    <xdr:to>
      <xdr:col>3</xdr:col>
      <xdr:colOff>304800</xdr:colOff>
      <xdr:row>658</xdr:row>
      <xdr:rowOff>165100</xdr:rowOff>
    </xdr:to>
    <xdr:sp macro="" textlink="">
      <xdr:nvSpPr>
        <xdr:cNvPr id="1536" name="왼쪽 화살표 153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661</xdr:row>
      <xdr:rowOff>0</xdr:rowOff>
    </xdr:from>
    <xdr:to>
      <xdr:col>3</xdr:col>
      <xdr:colOff>304800</xdr:colOff>
      <xdr:row>663</xdr:row>
      <xdr:rowOff>6350</xdr:rowOff>
    </xdr:to>
    <xdr:sp macro="" textlink="">
      <xdr:nvSpPr>
        <xdr:cNvPr id="1537" name="오른쪽으로 구부러진 화살표 153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663</xdr:row>
      <xdr:rowOff>0</xdr:rowOff>
    </xdr:from>
    <xdr:to>
      <xdr:col>3</xdr:col>
      <xdr:colOff>304800</xdr:colOff>
      <xdr:row>665</xdr:row>
      <xdr:rowOff>6350</xdr:rowOff>
    </xdr:to>
    <xdr:sp macro="" textlink="">
      <xdr:nvSpPr>
        <xdr:cNvPr id="1538" name="오른쪽으로 구부러진 화살표 153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665</xdr:row>
      <xdr:rowOff>0</xdr:rowOff>
    </xdr:from>
    <xdr:to>
      <xdr:col>3</xdr:col>
      <xdr:colOff>304800</xdr:colOff>
      <xdr:row>667</xdr:row>
      <xdr:rowOff>6350</xdr:rowOff>
    </xdr:to>
    <xdr:sp macro="" textlink="">
      <xdr:nvSpPr>
        <xdr:cNvPr id="1539" name="오른쪽으로 구부러진 화살표 153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661</xdr:row>
      <xdr:rowOff>0</xdr:rowOff>
    </xdr:from>
    <xdr:to>
      <xdr:col>3</xdr:col>
      <xdr:colOff>304800</xdr:colOff>
      <xdr:row>663</xdr:row>
      <xdr:rowOff>6350</xdr:rowOff>
    </xdr:to>
    <xdr:sp macro="" textlink="">
      <xdr:nvSpPr>
        <xdr:cNvPr id="1540" name="오른쪽으로 구부러진 화살표 153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663</xdr:row>
      <xdr:rowOff>0</xdr:rowOff>
    </xdr:from>
    <xdr:to>
      <xdr:col>3</xdr:col>
      <xdr:colOff>304800</xdr:colOff>
      <xdr:row>665</xdr:row>
      <xdr:rowOff>6350</xdr:rowOff>
    </xdr:to>
    <xdr:sp macro="" textlink="">
      <xdr:nvSpPr>
        <xdr:cNvPr id="1541" name="오른쪽으로 구부러진 화살표 154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665</xdr:row>
      <xdr:rowOff>0</xdr:rowOff>
    </xdr:from>
    <xdr:to>
      <xdr:col>3</xdr:col>
      <xdr:colOff>304800</xdr:colOff>
      <xdr:row>667</xdr:row>
      <xdr:rowOff>6350</xdr:rowOff>
    </xdr:to>
    <xdr:sp macro="" textlink="">
      <xdr:nvSpPr>
        <xdr:cNvPr id="1542" name="오른쪽으로 구부러진 화살표 154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660</xdr:row>
      <xdr:rowOff>76200</xdr:rowOff>
    </xdr:from>
    <xdr:to>
      <xdr:col>4</xdr:col>
      <xdr:colOff>0</xdr:colOff>
      <xdr:row>660</xdr:row>
      <xdr:rowOff>190500</xdr:rowOff>
    </xdr:to>
    <xdr:sp macro="" textlink="">
      <xdr:nvSpPr>
        <xdr:cNvPr id="1543" name="오른쪽 화살표 154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667</xdr:row>
      <xdr:rowOff>38100</xdr:rowOff>
    </xdr:from>
    <xdr:to>
      <xdr:col>3</xdr:col>
      <xdr:colOff>304800</xdr:colOff>
      <xdr:row>667</xdr:row>
      <xdr:rowOff>165100</xdr:rowOff>
    </xdr:to>
    <xdr:sp macro="" textlink="">
      <xdr:nvSpPr>
        <xdr:cNvPr id="1544" name="왼쪽 화살표 154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670</xdr:row>
      <xdr:rowOff>0</xdr:rowOff>
    </xdr:from>
    <xdr:to>
      <xdr:col>3</xdr:col>
      <xdr:colOff>304800</xdr:colOff>
      <xdr:row>672</xdr:row>
      <xdr:rowOff>6350</xdr:rowOff>
    </xdr:to>
    <xdr:sp macro="" textlink="">
      <xdr:nvSpPr>
        <xdr:cNvPr id="1545" name="오른쪽으로 구부러진 화살표 154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672</xdr:row>
      <xdr:rowOff>0</xdr:rowOff>
    </xdr:from>
    <xdr:to>
      <xdr:col>3</xdr:col>
      <xdr:colOff>304800</xdr:colOff>
      <xdr:row>674</xdr:row>
      <xdr:rowOff>6350</xdr:rowOff>
    </xdr:to>
    <xdr:sp macro="" textlink="">
      <xdr:nvSpPr>
        <xdr:cNvPr id="1546" name="오른쪽으로 구부러진 화살표 154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674</xdr:row>
      <xdr:rowOff>0</xdr:rowOff>
    </xdr:from>
    <xdr:to>
      <xdr:col>3</xdr:col>
      <xdr:colOff>304800</xdr:colOff>
      <xdr:row>676</xdr:row>
      <xdr:rowOff>6350</xdr:rowOff>
    </xdr:to>
    <xdr:sp macro="" textlink="">
      <xdr:nvSpPr>
        <xdr:cNvPr id="1547" name="오른쪽으로 구부러진 화살표 154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670</xdr:row>
      <xdr:rowOff>0</xdr:rowOff>
    </xdr:from>
    <xdr:to>
      <xdr:col>3</xdr:col>
      <xdr:colOff>304800</xdr:colOff>
      <xdr:row>672</xdr:row>
      <xdr:rowOff>6350</xdr:rowOff>
    </xdr:to>
    <xdr:sp macro="" textlink="">
      <xdr:nvSpPr>
        <xdr:cNvPr id="1548" name="오른쪽으로 구부러진 화살표 154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672</xdr:row>
      <xdr:rowOff>0</xdr:rowOff>
    </xdr:from>
    <xdr:to>
      <xdr:col>3</xdr:col>
      <xdr:colOff>304800</xdr:colOff>
      <xdr:row>674</xdr:row>
      <xdr:rowOff>6350</xdr:rowOff>
    </xdr:to>
    <xdr:sp macro="" textlink="">
      <xdr:nvSpPr>
        <xdr:cNvPr id="1549" name="오른쪽으로 구부러진 화살표 154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674</xdr:row>
      <xdr:rowOff>0</xdr:rowOff>
    </xdr:from>
    <xdr:to>
      <xdr:col>3</xdr:col>
      <xdr:colOff>304800</xdr:colOff>
      <xdr:row>676</xdr:row>
      <xdr:rowOff>6350</xdr:rowOff>
    </xdr:to>
    <xdr:sp macro="" textlink="">
      <xdr:nvSpPr>
        <xdr:cNvPr id="1550" name="오른쪽으로 구부러진 화살표 154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669</xdr:row>
      <xdr:rowOff>76200</xdr:rowOff>
    </xdr:from>
    <xdr:to>
      <xdr:col>4</xdr:col>
      <xdr:colOff>0</xdr:colOff>
      <xdr:row>669</xdr:row>
      <xdr:rowOff>190500</xdr:rowOff>
    </xdr:to>
    <xdr:sp macro="" textlink="">
      <xdr:nvSpPr>
        <xdr:cNvPr id="1551" name="오른쪽 화살표 155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676</xdr:row>
      <xdr:rowOff>38100</xdr:rowOff>
    </xdr:from>
    <xdr:to>
      <xdr:col>3</xdr:col>
      <xdr:colOff>304800</xdr:colOff>
      <xdr:row>676</xdr:row>
      <xdr:rowOff>165100</xdr:rowOff>
    </xdr:to>
    <xdr:sp macro="" textlink="">
      <xdr:nvSpPr>
        <xdr:cNvPr id="1552" name="왼쪽 화살표 155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679</xdr:row>
      <xdr:rowOff>0</xdr:rowOff>
    </xdr:from>
    <xdr:to>
      <xdr:col>3</xdr:col>
      <xdr:colOff>304800</xdr:colOff>
      <xdr:row>681</xdr:row>
      <xdr:rowOff>6350</xdr:rowOff>
    </xdr:to>
    <xdr:sp macro="" textlink="">
      <xdr:nvSpPr>
        <xdr:cNvPr id="1553" name="오른쪽으로 구부러진 화살표 155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681</xdr:row>
      <xdr:rowOff>0</xdr:rowOff>
    </xdr:from>
    <xdr:to>
      <xdr:col>3</xdr:col>
      <xdr:colOff>304800</xdr:colOff>
      <xdr:row>683</xdr:row>
      <xdr:rowOff>6350</xdr:rowOff>
    </xdr:to>
    <xdr:sp macro="" textlink="">
      <xdr:nvSpPr>
        <xdr:cNvPr id="1554" name="오른쪽으로 구부러진 화살표 155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683</xdr:row>
      <xdr:rowOff>0</xdr:rowOff>
    </xdr:from>
    <xdr:to>
      <xdr:col>3</xdr:col>
      <xdr:colOff>304800</xdr:colOff>
      <xdr:row>685</xdr:row>
      <xdr:rowOff>6350</xdr:rowOff>
    </xdr:to>
    <xdr:sp macro="" textlink="">
      <xdr:nvSpPr>
        <xdr:cNvPr id="1555" name="오른쪽으로 구부러진 화살표 155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679</xdr:row>
      <xdr:rowOff>0</xdr:rowOff>
    </xdr:from>
    <xdr:to>
      <xdr:col>3</xdr:col>
      <xdr:colOff>304800</xdr:colOff>
      <xdr:row>681</xdr:row>
      <xdr:rowOff>6350</xdr:rowOff>
    </xdr:to>
    <xdr:sp macro="" textlink="">
      <xdr:nvSpPr>
        <xdr:cNvPr id="1556" name="오른쪽으로 구부러진 화살표 155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681</xdr:row>
      <xdr:rowOff>0</xdr:rowOff>
    </xdr:from>
    <xdr:to>
      <xdr:col>3</xdr:col>
      <xdr:colOff>304800</xdr:colOff>
      <xdr:row>683</xdr:row>
      <xdr:rowOff>6350</xdr:rowOff>
    </xdr:to>
    <xdr:sp macro="" textlink="">
      <xdr:nvSpPr>
        <xdr:cNvPr id="1557" name="오른쪽으로 구부러진 화살표 155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683</xdr:row>
      <xdr:rowOff>0</xdr:rowOff>
    </xdr:from>
    <xdr:to>
      <xdr:col>3</xdr:col>
      <xdr:colOff>304800</xdr:colOff>
      <xdr:row>685</xdr:row>
      <xdr:rowOff>6350</xdr:rowOff>
    </xdr:to>
    <xdr:sp macro="" textlink="">
      <xdr:nvSpPr>
        <xdr:cNvPr id="1558" name="오른쪽으로 구부러진 화살표 155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678</xdr:row>
      <xdr:rowOff>76200</xdr:rowOff>
    </xdr:from>
    <xdr:to>
      <xdr:col>4</xdr:col>
      <xdr:colOff>0</xdr:colOff>
      <xdr:row>678</xdr:row>
      <xdr:rowOff>190500</xdr:rowOff>
    </xdr:to>
    <xdr:sp macro="" textlink="">
      <xdr:nvSpPr>
        <xdr:cNvPr id="1559" name="오른쪽 화살표 155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685</xdr:row>
      <xdr:rowOff>38100</xdr:rowOff>
    </xdr:from>
    <xdr:to>
      <xdr:col>3</xdr:col>
      <xdr:colOff>304800</xdr:colOff>
      <xdr:row>685</xdr:row>
      <xdr:rowOff>165100</xdr:rowOff>
    </xdr:to>
    <xdr:sp macro="" textlink="">
      <xdr:nvSpPr>
        <xdr:cNvPr id="1560" name="왼쪽 화살표 155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688</xdr:row>
      <xdr:rowOff>0</xdr:rowOff>
    </xdr:from>
    <xdr:to>
      <xdr:col>3</xdr:col>
      <xdr:colOff>304800</xdr:colOff>
      <xdr:row>690</xdr:row>
      <xdr:rowOff>6350</xdr:rowOff>
    </xdr:to>
    <xdr:sp macro="" textlink="">
      <xdr:nvSpPr>
        <xdr:cNvPr id="1561" name="오른쪽으로 구부러진 화살표 156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690</xdr:row>
      <xdr:rowOff>0</xdr:rowOff>
    </xdr:from>
    <xdr:to>
      <xdr:col>3</xdr:col>
      <xdr:colOff>304800</xdr:colOff>
      <xdr:row>692</xdr:row>
      <xdr:rowOff>6350</xdr:rowOff>
    </xdr:to>
    <xdr:sp macro="" textlink="">
      <xdr:nvSpPr>
        <xdr:cNvPr id="1562" name="오른쪽으로 구부러진 화살표 156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692</xdr:row>
      <xdr:rowOff>0</xdr:rowOff>
    </xdr:from>
    <xdr:to>
      <xdr:col>3</xdr:col>
      <xdr:colOff>304800</xdr:colOff>
      <xdr:row>694</xdr:row>
      <xdr:rowOff>6350</xdr:rowOff>
    </xdr:to>
    <xdr:sp macro="" textlink="">
      <xdr:nvSpPr>
        <xdr:cNvPr id="1563" name="오른쪽으로 구부러진 화살표 156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688</xdr:row>
      <xdr:rowOff>0</xdr:rowOff>
    </xdr:from>
    <xdr:to>
      <xdr:col>3</xdr:col>
      <xdr:colOff>304800</xdr:colOff>
      <xdr:row>690</xdr:row>
      <xdr:rowOff>6350</xdr:rowOff>
    </xdr:to>
    <xdr:sp macro="" textlink="">
      <xdr:nvSpPr>
        <xdr:cNvPr id="1564" name="오른쪽으로 구부러진 화살표 156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690</xdr:row>
      <xdr:rowOff>0</xdr:rowOff>
    </xdr:from>
    <xdr:to>
      <xdr:col>3</xdr:col>
      <xdr:colOff>304800</xdr:colOff>
      <xdr:row>692</xdr:row>
      <xdr:rowOff>6350</xdr:rowOff>
    </xdr:to>
    <xdr:sp macro="" textlink="">
      <xdr:nvSpPr>
        <xdr:cNvPr id="1565" name="오른쪽으로 구부러진 화살표 156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692</xdr:row>
      <xdr:rowOff>0</xdr:rowOff>
    </xdr:from>
    <xdr:to>
      <xdr:col>3</xdr:col>
      <xdr:colOff>304800</xdr:colOff>
      <xdr:row>694</xdr:row>
      <xdr:rowOff>6350</xdr:rowOff>
    </xdr:to>
    <xdr:sp macro="" textlink="">
      <xdr:nvSpPr>
        <xdr:cNvPr id="1566" name="오른쪽으로 구부러진 화살표 156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687</xdr:row>
      <xdr:rowOff>76200</xdr:rowOff>
    </xdr:from>
    <xdr:to>
      <xdr:col>4</xdr:col>
      <xdr:colOff>0</xdr:colOff>
      <xdr:row>687</xdr:row>
      <xdr:rowOff>190500</xdr:rowOff>
    </xdr:to>
    <xdr:sp macro="" textlink="">
      <xdr:nvSpPr>
        <xdr:cNvPr id="1567" name="오른쪽 화살표 156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694</xdr:row>
      <xdr:rowOff>38100</xdr:rowOff>
    </xdr:from>
    <xdr:to>
      <xdr:col>3</xdr:col>
      <xdr:colOff>304800</xdr:colOff>
      <xdr:row>694</xdr:row>
      <xdr:rowOff>165100</xdr:rowOff>
    </xdr:to>
    <xdr:sp macro="" textlink="">
      <xdr:nvSpPr>
        <xdr:cNvPr id="1568" name="왼쪽 화살표 156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697</xdr:row>
      <xdr:rowOff>0</xdr:rowOff>
    </xdr:from>
    <xdr:to>
      <xdr:col>3</xdr:col>
      <xdr:colOff>304800</xdr:colOff>
      <xdr:row>699</xdr:row>
      <xdr:rowOff>6350</xdr:rowOff>
    </xdr:to>
    <xdr:sp macro="" textlink="">
      <xdr:nvSpPr>
        <xdr:cNvPr id="1569" name="오른쪽으로 구부러진 화살표 156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699</xdr:row>
      <xdr:rowOff>0</xdr:rowOff>
    </xdr:from>
    <xdr:to>
      <xdr:col>3</xdr:col>
      <xdr:colOff>304800</xdr:colOff>
      <xdr:row>701</xdr:row>
      <xdr:rowOff>6350</xdr:rowOff>
    </xdr:to>
    <xdr:sp macro="" textlink="">
      <xdr:nvSpPr>
        <xdr:cNvPr id="1570" name="오른쪽으로 구부러진 화살표 156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701</xdr:row>
      <xdr:rowOff>0</xdr:rowOff>
    </xdr:from>
    <xdr:to>
      <xdr:col>3</xdr:col>
      <xdr:colOff>304800</xdr:colOff>
      <xdr:row>703</xdr:row>
      <xdr:rowOff>6350</xdr:rowOff>
    </xdr:to>
    <xdr:sp macro="" textlink="">
      <xdr:nvSpPr>
        <xdr:cNvPr id="1571" name="오른쪽으로 구부러진 화살표 157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697</xdr:row>
      <xdr:rowOff>0</xdr:rowOff>
    </xdr:from>
    <xdr:to>
      <xdr:col>3</xdr:col>
      <xdr:colOff>304800</xdr:colOff>
      <xdr:row>699</xdr:row>
      <xdr:rowOff>6350</xdr:rowOff>
    </xdr:to>
    <xdr:sp macro="" textlink="">
      <xdr:nvSpPr>
        <xdr:cNvPr id="1572" name="오른쪽으로 구부러진 화살표 157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699</xdr:row>
      <xdr:rowOff>0</xdr:rowOff>
    </xdr:from>
    <xdr:to>
      <xdr:col>3</xdr:col>
      <xdr:colOff>304800</xdr:colOff>
      <xdr:row>701</xdr:row>
      <xdr:rowOff>6350</xdr:rowOff>
    </xdr:to>
    <xdr:sp macro="" textlink="">
      <xdr:nvSpPr>
        <xdr:cNvPr id="1573" name="오른쪽으로 구부러진 화살표 157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701</xdr:row>
      <xdr:rowOff>0</xdr:rowOff>
    </xdr:from>
    <xdr:to>
      <xdr:col>3</xdr:col>
      <xdr:colOff>304800</xdr:colOff>
      <xdr:row>703</xdr:row>
      <xdr:rowOff>6350</xdr:rowOff>
    </xdr:to>
    <xdr:sp macro="" textlink="">
      <xdr:nvSpPr>
        <xdr:cNvPr id="1574" name="오른쪽으로 구부러진 화살표 157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696</xdr:row>
      <xdr:rowOff>76200</xdr:rowOff>
    </xdr:from>
    <xdr:to>
      <xdr:col>4</xdr:col>
      <xdr:colOff>0</xdr:colOff>
      <xdr:row>696</xdr:row>
      <xdr:rowOff>190500</xdr:rowOff>
    </xdr:to>
    <xdr:sp macro="" textlink="">
      <xdr:nvSpPr>
        <xdr:cNvPr id="1575" name="오른쪽 화살표 157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703</xdr:row>
      <xdr:rowOff>38100</xdr:rowOff>
    </xdr:from>
    <xdr:to>
      <xdr:col>3</xdr:col>
      <xdr:colOff>304800</xdr:colOff>
      <xdr:row>703</xdr:row>
      <xdr:rowOff>165100</xdr:rowOff>
    </xdr:to>
    <xdr:sp macro="" textlink="">
      <xdr:nvSpPr>
        <xdr:cNvPr id="1576" name="왼쪽 화살표 157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706</xdr:row>
      <xdr:rowOff>0</xdr:rowOff>
    </xdr:from>
    <xdr:to>
      <xdr:col>3</xdr:col>
      <xdr:colOff>304800</xdr:colOff>
      <xdr:row>708</xdr:row>
      <xdr:rowOff>6350</xdr:rowOff>
    </xdr:to>
    <xdr:sp macro="" textlink="">
      <xdr:nvSpPr>
        <xdr:cNvPr id="1577" name="오른쪽으로 구부러진 화살표 157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708</xdr:row>
      <xdr:rowOff>0</xdr:rowOff>
    </xdr:from>
    <xdr:to>
      <xdr:col>3</xdr:col>
      <xdr:colOff>304800</xdr:colOff>
      <xdr:row>710</xdr:row>
      <xdr:rowOff>6350</xdr:rowOff>
    </xdr:to>
    <xdr:sp macro="" textlink="">
      <xdr:nvSpPr>
        <xdr:cNvPr id="1578" name="오른쪽으로 구부러진 화살표 157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710</xdr:row>
      <xdr:rowOff>0</xdr:rowOff>
    </xdr:from>
    <xdr:to>
      <xdr:col>3</xdr:col>
      <xdr:colOff>304800</xdr:colOff>
      <xdr:row>712</xdr:row>
      <xdr:rowOff>6350</xdr:rowOff>
    </xdr:to>
    <xdr:sp macro="" textlink="">
      <xdr:nvSpPr>
        <xdr:cNvPr id="1579" name="오른쪽으로 구부러진 화살표 157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706</xdr:row>
      <xdr:rowOff>0</xdr:rowOff>
    </xdr:from>
    <xdr:to>
      <xdr:col>3</xdr:col>
      <xdr:colOff>304800</xdr:colOff>
      <xdr:row>708</xdr:row>
      <xdr:rowOff>6350</xdr:rowOff>
    </xdr:to>
    <xdr:sp macro="" textlink="">
      <xdr:nvSpPr>
        <xdr:cNvPr id="1580" name="오른쪽으로 구부러진 화살표 157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708</xdr:row>
      <xdr:rowOff>0</xdr:rowOff>
    </xdr:from>
    <xdr:to>
      <xdr:col>3</xdr:col>
      <xdr:colOff>304800</xdr:colOff>
      <xdr:row>710</xdr:row>
      <xdr:rowOff>6350</xdr:rowOff>
    </xdr:to>
    <xdr:sp macro="" textlink="">
      <xdr:nvSpPr>
        <xdr:cNvPr id="1581" name="오른쪽으로 구부러진 화살표 158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710</xdr:row>
      <xdr:rowOff>0</xdr:rowOff>
    </xdr:from>
    <xdr:to>
      <xdr:col>3</xdr:col>
      <xdr:colOff>304800</xdr:colOff>
      <xdr:row>712</xdr:row>
      <xdr:rowOff>6350</xdr:rowOff>
    </xdr:to>
    <xdr:sp macro="" textlink="">
      <xdr:nvSpPr>
        <xdr:cNvPr id="1582" name="오른쪽으로 구부러진 화살표 158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705</xdr:row>
      <xdr:rowOff>76200</xdr:rowOff>
    </xdr:from>
    <xdr:to>
      <xdr:col>4</xdr:col>
      <xdr:colOff>0</xdr:colOff>
      <xdr:row>705</xdr:row>
      <xdr:rowOff>190500</xdr:rowOff>
    </xdr:to>
    <xdr:sp macro="" textlink="">
      <xdr:nvSpPr>
        <xdr:cNvPr id="1583" name="오른쪽 화살표 158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712</xdr:row>
      <xdr:rowOff>38100</xdr:rowOff>
    </xdr:from>
    <xdr:to>
      <xdr:col>3</xdr:col>
      <xdr:colOff>304800</xdr:colOff>
      <xdr:row>712</xdr:row>
      <xdr:rowOff>165100</xdr:rowOff>
    </xdr:to>
    <xdr:sp macro="" textlink="">
      <xdr:nvSpPr>
        <xdr:cNvPr id="1584" name="왼쪽 화살표 158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715</xdr:row>
      <xdr:rowOff>0</xdr:rowOff>
    </xdr:from>
    <xdr:to>
      <xdr:col>3</xdr:col>
      <xdr:colOff>304800</xdr:colOff>
      <xdr:row>717</xdr:row>
      <xdr:rowOff>6350</xdr:rowOff>
    </xdr:to>
    <xdr:sp macro="" textlink="">
      <xdr:nvSpPr>
        <xdr:cNvPr id="1585" name="오른쪽으로 구부러진 화살표 158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717</xdr:row>
      <xdr:rowOff>0</xdr:rowOff>
    </xdr:from>
    <xdr:to>
      <xdr:col>3</xdr:col>
      <xdr:colOff>304800</xdr:colOff>
      <xdr:row>719</xdr:row>
      <xdr:rowOff>6350</xdr:rowOff>
    </xdr:to>
    <xdr:sp macro="" textlink="">
      <xdr:nvSpPr>
        <xdr:cNvPr id="1586" name="오른쪽으로 구부러진 화살표 158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719</xdr:row>
      <xdr:rowOff>0</xdr:rowOff>
    </xdr:from>
    <xdr:to>
      <xdr:col>3</xdr:col>
      <xdr:colOff>304800</xdr:colOff>
      <xdr:row>721</xdr:row>
      <xdr:rowOff>6350</xdr:rowOff>
    </xdr:to>
    <xdr:sp macro="" textlink="">
      <xdr:nvSpPr>
        <xdr:cNvPr id="1587" name="오른쪽으로 구부러진 화살표 158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715</xdr:row>
      <xdr:rowOff>0</xdr:rowOff>
    </xdr:from>
    <xdr:to>
      <xdr:col>3</xdr:col>
      <xdr:colOff>304800</xdr:colOff>
      <xdr:row>717</xdr:row>
      <xdr:rowOff>6350</xdr:rowOff>
    </xdr:to>
    <xdr:sp macro="" textlink="">
      <xdr:nvSpPr>
        <xdr:cNvPr id="1588" name="오른쪽으로 구부러진 화살표 158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717</xdr:row>
      <xdr:rowOff>0</xdr:rowOff>
    </xdr:from>
    <xdr:to>
      <xdr:col>3</xdr:col>
      <xdr:colOff>304800</xdr:colOff>
      <xdr:row>719</xdr:row>
      <xdr:rowOff>6350</xdr:rowOff>
    </xdr:to>
    <xdr:sp macro="" textlink="">
      <xdr:nvSpPr>
        <xdr:cNvPr id="1589" name="오른쪽으로 구부러진 화살표 158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719</xdr:row>
      <xdr:rowOff>0</xdr:rowOff>
    </xdr:from>
    <xdr:to>
      <xdr:col>3</xdr:col>
      <xdr:colOff>304800</xdr:colOff>
      <xdr:row>721</xdr:row>
      <xdr:rowOff>6350</xdr:rowOff>
    </xdr:to>
    <xdr:sp macro="" textlink="">
      <xdr:nvSpPr>
        <xdr:cNvPr id="1590" name="오른쪽으로 구부러진 화살표 158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714</xdr:row>
      <xdr:rowOff>76200</xdr:rowOff>
    </xdr:from>
    <xdr:to>
      <xdr:col>4</xdr:col>
      <xdr:colOff>0</xdr:colOff>
      <xdr:row>714</xdr:row>
      <xdr:rowOff>190500</xdr:rowOff>
    </xdr:to>
    <xdr:sp macro="" textlink="">
      <xdr:nvSpPr>
        <xdr:cNvPr id="1591" name="오른쪽 화살표 159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721</xdr:row>
      <xdr:rowOff>38100</xdr:rowOff>
    </xdr:from>
    <xdr:to>
      <xdr:col>3</xdr:col>
      <xdr:colOff>304800</xdr:colOff>
      <xdr:row>721</xdr:row>
      <xdr:rowOff>165100</xdr:rowOff>
    </xdr:to>
    <xdr:sp macro="" textlink="">
      <xdr:nvSpPr>
        <xdr:cNvPr id="1592" name="왼쪽 화살표 159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724</xdr:row>
      <xdr:rowOff>0</xdr:rowOff>
    </xdr:from>
    <xdr:to>
      <xdr:col>3</xdr:col>
      <xdr:colOff>304800</xdr:colOff>
      <xdr:row>726</xdr:row>
      <xdr:rowOff>6350</xdr:rowOff>
    </xdr:to>
    <xdr:sp macro="" textlink="">
      <xdr:nvSpPr>
        <xdr:cNvPr id="1593" name="오른쪽으로 구부러진 화살표 159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726</xdr:row>
      <xdr:rowOff>0</xdr:rowOff>
    </xdr:from>
    <xdr:to>
      <xdr:col>3</xdr:col>
      <xdr:colOff>304800</xdr:colOff>
      <xdr:row>728</xdr:row>
      <xdr:rowOff>6350</xdr:rowOff>
    </xdr:to>
    <xdr:sp macro="" textlink="">
      <xdr:nvSpPr>
        <xdr:cNvPr id="1594" name="오른쪽으로 구부러진 화살표 159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728</xdr:row>
      <xdr:rowOff>0</xdr:rowOff>
    </xdr:from>
    <xdr:to>
      <xdr:col>3</xdr:col>
      <xdr:colOff>304800</xdr:colOff>
      <xdr:row>730</xdr:row>
      <xdr:rowOff>6350</xdr:rowOff>
    </xdr:to>
    <xdr:sp macro="" textlink="">
      <xdr:nvSpPr>
        <xdr:cNvPr id="1595" name="오른쪽으로 구부러진 화살표 159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724</xdr:row>
      <xdr:rowOff>0</xdr:rowOff>
    </xdr:from>
    <xdr:to>
      <xdr:col>3</xdr:col>
      <xdr:colOff>304800</xdr:colOff>
      <xdr:row>726</xdr:row>
      <xdr:rowOff>6350</xdr:rowOff>
    </xdr:to>
    <xdr:sp macro="" textlink="">
      <xdr:nvSpPr>
        <xdr:cNvPr id="1596" name="오른쪽으로 구부러진 화살표 159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726</xdr:row>
      <xdr:rowOff>0</xdr:rowOff>
    </xdr:from>
    <xdr:to>
      <xdr:col>3</xdr:col>
      <xdr:colOff>304800</xdr:colOff>
      <xdr:row>728</xdr:row>
      <xdr:rowOff>6350</xdr:rowOff>
    </xdr:to>
    <xdr:sp macro="" textlink="">
      <xdr:nvSpPr>
        <xdr:cNvPr id="1597" name="오른쪽으로 구부러진 화살표 159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728</xdr:row>
      <xdr:rowOff>0</xdr:rowOff>
    </xdr:from>
    <xdr:to>
      <xdr:col>3</xdr:col>
      <xdr:colOff>304800</xdr:colOff>
      <xdr:row>730</xdr:row>
      <xdr:rowOff>6350</xdr:rowOff>
    </xdr:to>
    <xdr:sp macro="" textlink="">
      <xdr:nvSpPr>
        <xdr:cNvPr id="1598" name="오른쪽으로 구부러진 화살표 159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723</xdr:row>
      <xdr:rowOff>76200</xdr:rowOff>
    </xdr:from>
    <xdr:to>
      <xdr:col>4</xdr:col>
      <xdr:colOff>0</xdr:colOff>
      <xdr:row>723</xdr:row>
      <xdr:rowOff>190500</xdr:rowOff>
    </xdr:to>
    <xdr:sp macro="" textlink="">
      <xdr:nvSpPr>
        <xdr:cNvPr id="1599" name="오른쪽 화살표 159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730</xdr:row>
      <xdr:rowOff>38100</xdr:rowOff>
    </xdr:from>
    <xdr:to>
      <xdr:col>3</xdr:col>
      <xdr:colOff>304800</xdr:colOff>
      <xdr:row>730</xdr:row>
      <xdr:rowOff>165100</xdr:rowOff>
    </xdr:to>
    <xdr:sp macro="" textlink="">
      <xdr:nvSpPr>
        <xdr:cNvPr id="1600" name="왼쪽 화살표 159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733</xdr:row>
      <xdr:rowOff>0</xdr:rowOff>
    </xdr:from>
    <xdr:to>
      <xdr:col>3</xdr:col>
      <xdr:colOff>304800</xdr:colOff>
      <xdr:row>735</xdr:row>
      <xdr:rowOff>6350</xdr:rowOff>
    </xdr:to>
    <xdr:sp macro="" textlink="">
      <xdr:nvSpPr>
        <xdr:cNvPr id="1601" name="오른쪽으로 구부러진 화살표 160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735</xdr:row>
      <xdr:rowOff>0</xdr:rowOff>
    </xdr:from>
    <xdr:to>
      <xdr:col>3</xdr:col>
      <xdr:colOff>304800</xdr:colOff>
      <xdr:row>737</xdr:row>
      <xdr:rowOff>6350</xdr:rowOff>
    </xdr:to>
    <xdr:sp macro="" textlink="">
      <xdr:nvSpPr>
        <xdr:cNvPr id="1602" name="오른쪽으로 구부러진 화살표 160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737</xdr:row>
      <xdr:rowOff>0</xdr:rowOff>
    </xdr:from>
    <xdr:to>
      <xdr:col>3</xdr:col>
      <xdr:colOff>304800</xdr:colOff>
      <xdr:row>739</xdr:row>
      <xdr:rowOff>6350</xdr:rowOff>
    </xdr:to>
    <xdr:sp macro="" textlink="">
      <xdr:nvSpPr>
        <xdr:cNvPr id="1603" name="오른쪽으로 구부러진 화살표 160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733</xdr:row>
      <xdr:rowOff>0</xdr:rowOff>
    </xdr:from>
    <xdr:to>
      <xdr:col>3</xdr:col>
      <xdr:colOff>304800</xdr:colOff>
      <xdr:row>735</xdr:row>
      <xdr:rowOff>6350</xdr:rowOff>
    </xdr:to>
    <xdr:sp macro="" textlink="">
      <xdr:nvSpPr>
        <xdr:cNvPr id="1604" name="오른쪽으로 구부러진 화살표 160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735</xdr:row>
      <xdr:rowOff>0</xdr:rowOff>
    </xdr:from>
    <xdr:to>
      <xdr:col>3</xdr:col>
      <xdr:colOff>304800</xdr:colOff>
      <xdr:row>737</xdr:row>
      <xdr:rowOff>6350</xdr:rowOff>
    </xdr:to>
    <xdr:sp macro="" textlink="">
      <xdr:nvSpPr>
        <xdr:cNvPr id="1605" name="오른쪽으로 구부러진 화살표 160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737</xdr:row>
      <xdr:rowOff>0</xdr:rowOff>
    </xdr:from>
    <xdr:to>
      <xdr:col>3</xdr:col>
      <xdr:colOff>304800</xdr:colOff>
      <xdr:row>739</xdr:row>
      <xdr:rowOff>6350</xdr:rowOff>
    </xdr:to>
    <xdr:sp macro="" textlink="">
      <xdr:nvSpPr>
        <xdr:cNvPr id="1606" name="오른쪽으로 구부러진 화살표 160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732</xdr:row>
      <xdr:rowOff>76200</xdr:rowOff>
    </xdr:from>
    <xdr:to>
      <xdr:col>4</xdr:col>
      <xdr:colOff>0</xdr:colOff>
      <xdr:row>732</xdr:row>
      <xdr:rowOff>190500</xdr:rowOff>
    </xdr:to>
    <xdr:sp macro="" textlink="">
      <xdr:nvSpPr>
        <xdr:cNvPr id="1607" name="오른쪽 화살표 160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739</xdr:row>
      <xdr:rowOff>38100</xdr:rowOff>
    </xdr:from>
    <xdr:to>
      <xdr:col>3</xdr:col>
      <xdr:colOff>304800</xdr:colOff>
      <xdr:row>739</xdr:row>
      <xdr:rowOff>165100</xdr:rowOff>
    </xdr:to>
    <xdr:sp macro="" textlink="">
      <xdr:nvSpPr>
        <xdr:cNvPr id="1608" name="왼쪽 화살표 160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742</xdr:row>
      <xdr:rowOff>0</xdr:rowOff>
    </xdr:from>
    <xdr:to>
      <xdr:col>3</xdr:col>
      <xdr:colOff>304800</xdr:colOff>
      <xdr:row>744</xdr:row>
      <xdr:rowOff>6350</xdr:rowOff>
    </xdr:to>
    <xdr:sp macro="" textlink="">
      <xdr:nvSpPr>
        <xdr:cNvPr id="1609" name="오른쪽으로 구부러진 화살표 160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744</xdr:row>
      <xdr:rowOff>0</xdr:rowOff>
    </xdr:from>
    <xdr:to>
      <xdr:col>3</xdr:col>
      <xdr:colOff>304800</xdr:colOff>
      <xdr:row>746</xdr:row>
      <xdr:rowOff>6350</xdr:rowOff>
    </xdr:to>
    <xdr:sp macro="" textlink="">
      <xdr:nvSpPr>
        <xdr:cNvPr id="1610" name="오른쪽으로 구부러진 화살표 160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746</xdr:row>
      <xdr:rowOff>0</xdr:rowOff>
    </xdr:from>
    <xdr:to>
      <xdr:col>3</xdr:col>
      <xdr:colOff>304800</xdr:colOff>
      <xdr:row>748</xdr:row>
      <xdr:rowOff>6350</xdr:rowOff>
    </xdr:to>
    <xdr:sp macro="" textlink="">
      <xdr:nvSpPr>
        <xdr:cNvPr id="1611" name="오른쪽으로 구부러진 화살표 161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742</xdr:row>
      <xdr:rowOff>0</xdr:rowOff>
    </xdr:from>
    <xdr:to>
      <xdr:col>3</xdr:col>
      <xdr:colOff>304800</xdr:colOff>
      <xdr:row>744</xdr:row>
      <xdr:rowOff>6350</xdr:rowOff>
    </xdr:to>
    <xdr:sp macro="" textlink="">
      <xdr:nvSpPr>
        <xdr:cNvPr id="1612" name="오른쪽으로 구부러진 화살표 161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744</xdr:row>
      <xdr:rowOff>0</xdr:rowOff>
    </xdr:from>
    <xdr:to>
      <xdr:col>3</xdr:col>
      <xdr:colOff>304800</xdr:colOff>
      <xdr:row>746</xdr:row>
      <xdr:rowOff>6350</xdr:rowOff>
    </xdr:to>
    <xdr:sp macro="" textlink="">
      <xdr:nvSpPr>
        <xdr:cNvPr id="1613" name="오른쪽으로 구부러진 화살표 161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746</xdr:row>
      <xdr:rowOff>0</xdr:rowOff>
    </xdr:from>
    <xdr:to>
      <xdr:col>3</xdr:col>
      <xdr:colOff>304800</xdr:colOff>
      <xdr:row>748</xdr:row>
      <xdr:rowOff>6350</xdr:rowOff>
    </xdr:to>
    <xdr:sp macro="" textlink="">
      <xdr:nvSpPr>
        <xdr:cNvPr id="1614" name="오른쪽으로 구부러진 화살표 161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741</xdr:row>
      <xdr:rowOff>76200</xdr:rowOff>
    </xdr:from>
    <xdr:to>
      <xdr:col>4</xdr:col>
      <xdr:colOff>0</xdr:colOff>
      <xdr:row>741</xdr:row>
      <xdr:rowOff>190500</xdr:rowOff>
    </xdr:to>
    <xdr:sp macro="" textlink="">
      <xdr:nvSpPr>
        <xdr:cNvPr id="1615" name="오른쪽 화살표 161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748</xdr:row>
      <xdr:rowOff>38100</xdr:rowOff>
    </xdr:from>
    <xdr:to>
      <xdr:col>3</xdr:col>
      <xdr:colOff>304800</xdr:colOff>
      <xdr:row>748</xdr:row>
      <xdr:rowOff>165100</xdr:rowOff>
    </xdr:to>
    <xdr:sp macro="" textlink="">
      <xdr:nvSpPr>
        <xdr:cNvPr id="1616" name="왼쪽 화살표 161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751</xdr:row>
      <xdr:rowOff>0</xdr:rowOff>
    </xdr:from>
    <xdr:to>
      <xdr:col>3</xdr:col>
      <xdr:colOff>304800</xdr:colOff>
      <xdr:row>753</xdr:row>
      <xdr:rowOff>6350</xdr:rowOff>
    </xdr:to>
    <xdr:sp macro="" textlink="">
      <xdr:nvSpPr>
        <xdr:cNvPr id="1617" name="오른쪽으로 구부러진 화살표 161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753</xdr:row>
      <xdr:rowOff>0</xdr:rowOff>
    </xdr:from>
    <xdr:to>
      <xdr:col>3</xdr:col>
      <xdr:colOff>304800</xdr:colOff>
      <xdr:row>755</xdr:row>
      <xdr:rowOff>6350</xdr:rowOff>
    </xdr:to>
    <xdr:sp macro="" textlink="">
      <xdr:nvSpPr>
        <xdr:cNvPr id="1618" name="오른쪽으로 구부러진 화살표 161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755</xdr:row>
      <xdr:rowOff>0</xdr:rowOff>
    </xdr:from>
    <xdr:to>
      <xdr:col>3</xdr:col>
      <xdr:colOff>304800</xdr:colOff>
      <xdr:row>757</xdr:row>
      <xdr:rowOff>6350</xdr:rowOff>
    </xdr:to>
    <xdr:sp macro="" textlink="">
      <xdr:nvSpPr>
        <xdr:cNvPr id="1619" name="오른쪽으로 구부러진 화살표 161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751</xdr:row>
      <xdr:rowOff>0</xdr:rowOff>
    </xdr:from>
    <xdr:to>
      <xdr:col>3</xdr:col>
      <xdr:colOff>304800</xdr:colOff>
      <xdr:row>753</xdr:row>
      <xdr:rowOff>6350</xdr:rowOff>
    </xdr:to>
    <xdr:sp macro="" textlink="">
      <xdr:nvSpPr>
        <xdr:cNvPr id="1620" name="오른쪽으로 구부러진 화살표 161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753</xdr:row>
      <xdr:rowOff>0</xdr:rowOff>
    </xdr:from>
    <xdr:to>
      <xdr:col>3</xdr:col>
      <xdr:colOff>304800</xdr:colOff>
      <xdr:row>755</xdr:row>
      <xdr:rowOff>6350</xdr:rowOff>
    </xdr:to>
    <xdr:sp macro="" textlink="">
      <xdr:nvSpPr>
        <xdr:cNvPr id="1621" name="오른쪽으로 구부러진 화살표 162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755</xdr:row>
      <xdr:rowOff>0</xdr:rowOff>
    </xdr:from>
    <xdr:to>
      <xdr:col>3</xdr:col>
      <xdr:colOff>304800</xdr:colOff>
      <xdr:row>757</xdr:row>
      <xdr:rowOff>6350</xdr:rowOff>
    </xdr:to>
    <xdr:sp macro="" textlink="">
      <xdr:nvSpPr>
        <xdr:cNvPr id="1622" name="오른쪽으로 구부러진 화살표 162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750</xdr:row>
      <xdr:rowOff>76200</xdr:rowOff>
    </xdr:from>
    <xdr:to>
      <xdr:col>4</xdr:col>
      <xdr:colOff>0</xdr:colOff>
      <xdr:row>750</xdr:row>
      <xdr:rowOff>190500</xdr:rowOff>
    </xdr:to>
    <xdr:sp macro="" textlink="">
      <xdr:nvSpPr>
        <xdr:cNvPr id="1623" name="오른쪽 화살표 162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757</xdr:row>
      <xdr:rowOff>38100</xdr:rowOff>
    </xdr:from>
    <xdr:to>
      <xdr:col>3</xdr:col>
      <xdr:colOff>304800</xdr:colOff>
      <xdr:row>757</xdr:row>
      <xdr:rowOff>165100</xdr:rowOff>
    </xdr:to>
    <xdr:sp macro="" textlink="">
      <xdr:nvSpPr>
        <xdr:cNvPr id="1624" name="왼쪽 화살표 162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760</xdr:row>
      <xdr:rowOff>0</xdr:rowOff>
    </xdr:from>
    <xdr:to>
      <xdr:col>3</xdr:col>
      <xdr:colOff>304800</xdr:colOff>
      <xdr:row>762</xdr:row>
      <xdr:rowOff>6350</xdr:rowOff>
    </xdr:to>
    <xdr:sp macro="" textlink="">
      <xdr:nvSpPr>
        <xdr:cNvPr id="1625" name="오른쪽으로 구부러진 화살표 162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762</xdr:row>
      <xdr:rowOff>0</xdr:rowOff>
    </xdr:from>
    <xdr:to>
      <xdr:col>3</xdr:col>
      <xdr:colOff>304800</xdr:colOff>
      <xdr:row>764</xdr:row>
      <xdr:rowOff>6350</xdr:rowOff>
    </xdr:to>
    <xdr:sp macro="" textlink="">
      <xdr:nvSpPr>
        <xdr:cNvPr id="1626" name="오른쪽으로 구부러진 화살표 162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764</xdr:row>
      <xdr:rowOff>0</xdr:rowOff>
    </xdr:from>
    <xdr:to>
      <xdr:col>3</xdr:col>
      <xdr:colOff>304800</xdr:colOff>
      <xdr:row>766</xdr:row>
      <xdr:rowOff>6350</xdr:rowOff>
    </xdr:to>
    <xdr:sp macro="" textlink="">
      <xdr:nvSpPr>
        <xdr:cNvPr id="1627" name="오른쪽으로 구부러진 화살표 162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760</xdr:row>
      <xdr:rowOff>0</xdr:rowOff>
    </xdr:from>
    <xdr:to>
      <xdr:col>3</xdr:col>
      <xdr:colOff>304800</xdr:colOff>
      <xdr:row>762</xdr:row>
      <xdr:rowOff>6350</xdr:rowOff>
    </xdr:to>
    <xdr:sp macro="" textlink="">
      <xdr:nvSpPr>
        <xdr:cNvPr id="1628" name="오른쪽으로 구부러진 화살표 162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762</xdr:row>
      <xdr:rowOff>0</xdr:rowOff>
    </xdr:from>
    <xdr:to>
      <xdr:col>3</xdr:col>
      <xdr:colOff>304800</xdr:colOff>
      <xdr:row>764</xdr:row>
      <xdr:rowOff>6350</xdr:rowOff>
    </xdr:to>
    <xdr:sp macro="" textlink="">
      <xdr:nvSpPr>
        <xdr:cNvPr id="1629" name="오른쪽으로 구부러진 화살표 162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764</xdr:row>
      <xdr:rowOff>0</xdr:rowOff>
    </xdr:from>
    <xdr:to>
      <xdr:col>3</xdr:col>
      <xdr:colOff>304800</xdr:colOff>
      <xdr:row>766</xdr:row>
      <xdr:rowOff>6350</xdr:rowOff>
    </xdr:to>
    <xdr:sp macro="" textlink="">
      <xdr:nvSpPr>
        <xdr:cNvPr id="1630" name="오른쪽으로 구부러진 화살표 162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759</xdr:row>
      <xdr:rowOff>76200</xdr:rowOff>
    </xdr:from>
    <xdr:to>
      <xdr:col>4</xdr:col>
      <xdr:colOff>0</xdr:colOff>
      <xdr:row>759</xdr:row>
      <xdr:rowOff>190500</xdr:rowOff>
    </xdr:to>
    <xdr:sp macro="" textlink="">
      <xdr:nvSpPr>
        <xdr:cNvPr id="1631" name="오른쪽 화살표 163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766</xdr:row>
      <xdr:rowOff>38100</xdr:rowOff>
    </xdr:from>
    <xdr:to>
      <xdr:col>3</xdr:col>
      <xdr:colOff>304800</xdr:colOff>
      <xdr:row>766</xdr:row>
      <xdr:rowOff>165100</xdr:rowOff>
    </xdr:to>
    <xdr:sp macro="" textlink="">
      <xdr:nvSpPr>
        <xdr:cNvPr id="1632" name="왼쪽 화살표 163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769</xdr:row>
      <xdr:rowOff>0</xdr:rowOff>
    </xdr:from>
    <xdr:to>
      <xdr:col>3</xdr:col>
      <xdr:colOff>304800</xdr:colOff>
      <xdr:row>771</xdr:row>
      <xdr:rowOff>6350</xdr:rowOff>
    </xdr:to>
    <xdr:sp macro="" textlink="">
      <xdr:nvSpPr>
        <xdr:cNvPr id="1633" name="오른쪽으로 구부러진 화살표 163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771</xdr:row>
      <xdr:rowOff>0</xdr:rowOff>
    </xdr:from>
    <xdr:to>
      <xdr:col>3</xdr:col>
      <xdr:colOff>304800</xdr:colOff>
      <xdr:row>773</xdr:row>
      <xdr:rowOff>6350</xdr:rowOff>
    </xdr:to>
    <xdr:sp macro="" textlink="">
      <xdr:nvSpPr>
        <xdr:cNvPr id="1634" name="오른쪽으로 구부러진 화살표 163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773</xdr:row>
      <xdr:rowOff>0</xdr:rowOff>
    </xdr:from>
    <xdr:to>
      <xdr:col>3</xdr:col>
      <xdr:colOff>304800</xdr:colOff>
      <xdr:row>775</xdr:row>
      <xdr:rowOff>6350</xdr:rowOff>
    </xdr:to>
    <xdr:sp macro="" textlink="">
      <xdr:nvSpPr>
        <xdr:cNvPr id="1635" name="오른쪽으로 구부러진 화살표 163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769</xdr:row>
      <xdr:rowOff>0</xdr:rowOff>
    </xdr:from>
    <xdr:to>
      <xdr:col>3</xdr:col>
      <xdr:colOff>304800</xdr:colOff>
      <xdr:row>771</xdr:row>
      <xdr:rowOff>6350</xdr:rowOff>
    </xdr:to>
    <xdr:sp macro="" textlink="">
      <xdr:nvSpPr>
        <xdr:cNvPr id="1636" name="오른쪽으로 구부러진 화살표 163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771</xdr:row>
      <xdr:rowOff>0</xdr:rowOff>
    </xdr:from>
    <xdr:to>
      <xdr:col>3</xdr:col>
      <xdr:colOff>304800</xdr:colOff>
      <xdr:row>773</xdr:row>
      <xdr:rowOff>6350</xdr:rowOff>
    </xdr:to>
    <xdr:sp macro="" textlink="">
      <xdr:nvSpPr>
        <xdr:cNvPr id="1637" name="오른쪽으로 구부러진 화살표 163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773</xdr:row>
      <xdr:rowOff>0</xdr:rowOff>
    </xdr:from>
    <xdr:to>
      <xdr:col>3</xdr:col>
      <xdr:colOff>304800</xdr:colOff>
      <xdr:row>775</xdr:row>
      <xdr:rowOff>6350</xdr:rowOff>
    </xdr:to>
    <xdr:sp macro="" textlink="">
      <xdr:nvSpPr>
        <xdr:cNvPr id="1638" name="오른쪽으로 구부러진 화살표 163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768</xdr:row>
      <xdr:rowOff>76200</xdr:rowOff>
    </xdr:from>
    <xdr:to>
      <xdr:col>4</xdr:col>
      <xdr:colOff>0</xdr:colOff>
      <xdr:row>768</xdr:row>
      <xdr:rowOff>190500</xdr:rowOff>
    </xdr:to>
    <xdr:sp macro="" textlink="">
      <xdr:nvSpPr>
        <xdr:cNvPr id="1639" name="오른쪽 화살표 163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775</xdr:row>
      <xdr:rowOff>38100</xdr:rowOff>
    </xdr:from>
    <xdr:to>
      <xdr:col>3</xdr:col>
      <xdr:colOff>304800</xdr:colOff>
      <xdr:row>775</xdr:row>
      <xdr:rowOff>165100</xdr:rowOff>
    </xdr:to>
    <xdr:sp macro="" textlink="">
      <xdr:nvSpPr>
        <xdr:cNvPr id="1640" name="왼쪽 화살표 163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778</xdr:row>
      <xdr:rowOff>0</xdr:rowOff>
    </xdr:from>
    <xdr:to>
      <xdr:col>3</xdr:col>
      <xdr:colOff>304800</xdr:colOff>
      <xdr:row>780</xdr:row>
      <xdr:rowOff>6350</xdr:rowOff>
    </xdr:to>
    <xdr:sp macro="" textlink="">
      <xdr:nvSpPr>
        <xdr:cNvPr id="1641" name="오른쪽으로 구부러진 화살표 164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780</xdr:row>
      <xdr:rowOff>0</xdr:rowOff>
    </xdr:from>
    <xdr:to>
      <xdr:col>3</xdr:col>
      <xdr:colOff>304800</xdr:colOff>
      <xdr:row>782</xdr:row>
      <xdr:rowOff>6350</xdr:rowOff>
    </xdr:to>
    <xdr:sp macro="" textlink="">
      <xdr:nvSpPr>
        <xdr:cNvPr id="1642" name="오른쪽으로 구부러진 화살표 164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782</xdr:row>
      <xdr:rowOff>0</xdr:rowOff>
    </xdr:from>
    <xdr:to>
      <xdr:col>3</xdr:col>
      <xdr:colOff>304800</xdr:colOff>
      <xdr:row>784</xdr:row>
      <xdr:rowOff>6350</xdr:rowOff>
    </xdr:to>
    <xdr:sp macro="" textlink="">
      <xdr:nvSpPr>
        <xdr:cNvPr id="1643" name="오른쪽으로 구부러진 화살표 164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778</xdr:row>
      <xdr:rowOff>0</xdr:rowOff>
    </xdr:from>
    <xdr:to>
      <xdr:col>3</xdr:col>
      <xdr:colOff>304800</xdr:colOff>
      <xdr:row>780</xdr:row>
      <xdr:rowOff>6350</xdr:rowOff>
    </xdr:to>
    <xdr:sp macro="" textlink="">
      <xdr:nvSpPr>
        <xdr:cNvPr id="1644" name="오른쪽으로 구부러진 화살표 164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780</xdr:row>
      <xdr:rowOff>0</xdr:rowOff>
    </xdr:from>
    <xdr:to>
      <xdr:col>3</xdr:col>
      <xdr:colOff>304800</xdr:colOff>
      <xdr:row>782</xdr:row>
      <xdr:rowOff>6350</xdr:rowOff>
    </xdr:to>
    <xdr:sp macro="" textlink="">
      <xdr:nvSpPr>
        <xdr:cNvPr id="1645" name="오른쪽으로 구부러진 화살표 164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782</xdr:row>
      <xdr:rowOff>0</xdr:rowOff>
    </xdr:from>
    <xdr:to>
      <xdr:col>3</xdr:col>
      <xdr:colOff>304800</xdr:colOff>
      <xdr:row>784</xdr:row>
      <xdr:rowOff>6350</xdr:rowOff>
    </xdr:to>
    <xdr:sp macro="" textlink="">
      <xdr:nvSpPr>
        <xdr:cNvPr id="1646" name="오른쪽으로 구부러진 화살표 164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777</xdr:row>
      <xdr:rowOff>76200</xdr:rowOff>
    </xdr:from>
    <xdr:to>
      <xdr:col>4</xdr:col>
      <xdr:colOff>0</xdr:colOff>
      <xdr:row>777</xdr:row>
      <xdr:rowOff>190500</xdr:rowOff>
    </xdr:to>
    <xdr:sp macro="" textlink="">
      <xdr:nvSpPr>
        <xdr:cNvPr id="1647" name="오른쪽 화살표 164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784</xdr:row>
      <xdr:rowOff>38100</xdr:rowOff>
    </xdr:from>
    <xdr:to>
      <xdr:col>3</xdr:col>
      <xdr:colOff>304800</xdr:colOff>
      <xdr:row>784</xdr:row>
      <xdr:rowOff>165100</xdr:rowOff>
    </xdr:to>
    <xdr:sp macro="" textlink="">
      <xdr:nvSpPr>
        <xdr:cNvPr id="1648" name="왼쪽 화살표 164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787</xdr:row>
      <xdr:rowOff>0</xdr:rowOff>
    </xdr:from>
    <xdr:to>
      <xdr:col>3</xdr:col>
      <xdr:colOff>304800</xdr:colOff>
      <xdr:row>789</xdr:row>
      <xdr:rowOff>6350</xdr:rowOff>
    </xdr:to>
    <xdr:sp macro="" textlink="">
      <xdr:nvSpPr>
        <xdr:cNvPr id="1649" name="오른쪽으로 구부러진 화살표 164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789</xdr:row>
      <xdr:rowOff>0</xdr:rowOff>
    </xdr:from>
    <xdr:to>
      <xdr:col>3</xdr:col>
      <xdr:colOff>304800</xdr:colOff>
      <xdr:row>791</xdr:row>
      <xdr:rowOff>6350</xdr:rowOff>
    </xdr:to>
    <xdr:sp macro="" textlink="">
      <xdr:nvSpPr>
        <xdr:cNvPr id="1650" name="오른쪽으로 구부러진 화살표 164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791</xdr:row>
      <xdr:rowOff>0</xdr:rowOff>
    </xdr:from>
    <xdr:to>
      <xdr:col>3</xdr:col>
      <xdr:colOff>304800</xdr:colOff>
      <xdr:row>793</xdr:row>
      <xdr:rowOff>6350</xdr:rowOff>
    </xdr:to>
    <xdr:sp macro="" textlink="">
      <xdr:nvSpPr>
        <xdr:cNvPr id="1651" name="오른쪽으로 구부러진 화살표 165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787</xdr:row>
      <xdr:rowOff>0</xdr:rowOff>
    </xdr:from>
    <xdr:to>
      <xdr:col>3</xdr:col>
      <xdr:colOff>304800</xdr:colOff>
      <xdr:row>789</xdr:row>
      <xdr:rowOff>6350</xdr:rowOff>
    </xdr:to>
    <xdr:sp macro="" textlink="">
      <xdr:nvSpPr>
        <xdr:cNvPr id="1652" name="오른쪽으로 구부러진 화살표 165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789</xdr:row>
      <xdr:rowOff>0</xdr:rowOff>
    </xdr:from>
    <xdr:to>
      <xdr:col>3</xdr:col>
      <xdr:colOff>304800</xdr:colOff>
      <xdr:row>791</xdr:row>
      <xdr:rowOff>6350</xdr:rowOff>
    </xdr:to>
    <xdr:sp macro="" textlink="">
      <xdr:nvSpPr>
        <xdr:cNvPr id="1653" name="오른쪽으로 구부러진 화살표 165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791</xdr:row>
      <xdr:rowOff>0</xdr:rowOff>
    </xdr:from>
    <xdr:to>
      <xdr:col>3</xdr:col>
      <xdr:colOff>304800</xdr:colOff>
      <xdr:row>793</xdr:row>
      <xdr:rowOff>6350</xdr:rowOff>
    </xdr:to>
    <xdr:sp macro="" textlink="">
      <xdr:nvSpPr>
        <xdr:cNvPr id="1654" name="오른쪽으로 구부러진 화살표 165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786</xdr:row>
      <xdr:rowOff>76200</xdr:rowOff>
    </xdr:from>
    <xdr:to>
      <xdr:col>4</xdr:col>
      <xdr:colOff>0</xdr:colOff>
      <xdr:row>786</xdr:row>
      <xdr:rowOff>190500</xdr:rowOff>
    </xdr:to>
    <xdr:sp macro="" textlink="">
      <xdr:nvSpPr>
        <xdr:cNvPr id="1655" name="오른쪽 화살표 165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793</xdr:row>
      <xdr:rowOff>38100</xdr:rowOff>
    </xdr:from>
    <xdr:to>
      <xdr:col>3</xdr:col>
      <xdr:colOff>304800</xdr:colOff>
      <xdr:row>793</xdr:row>
      <xdr:rowOff>165100</xdr:rowOff>
    </xdr:to>
    <xdr:sp macro="" textlink="">
      <xdr:nvSpPr>
        <xdr:cNvPr id="1656" name="왼쪽 화살표 165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796</xdr:row>
      <xdr:rowOff>0</xdr:rowOff>
    </xdr:from>
    <xdr:to>
      <xdr:col>3</xdr:col>
      <xdr:colOff>304800</xdr:colOff>
      <xdr:row>798</xdr:row>
      <xdr:rowOff>6350</xdr:rowOff>
    </xdr:to>
    <xdr:sp macro="" textlink="">
      <xdr:nvSpPr>
        <xdr:cNvPr id="1657" name="오른쪽으로 구부러진 화살표 165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798</xdr:row>
      <xdr:rowOff>0</xdr:rowOff>
    </xdr:from>
    <xdr:to>
      <xdr:col>3</xdr:col>
      <xdr:colOff>304800</xdr:colOff>
      <xdr:row>800</xdr:row>
      <xdr:rowOff>6350</xdr:rowOff>
    </xdr:to>
    <xdr:sp macro="" textlink="">
      <xdr:nvSpPr>
        <xdr:cNvPr id="1658" name="오른쪽으로 구부러진 화살표 165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800</xdr:row>
      <xdr:rowOff>0</xdr:rowOff>
    </xdr:from>
    <xdr:to>
      <xdr:col>3</xdr:col>
      <xdr:colOff>304800</xdr:colOff>
      <xdr:row>802</xdr:row>
      <xdr:rowOff>6350</xdr:rowOff>
    </xdr:to>
    <xdr:sp macro="" textlink="">
      <xdr:nvSpPr>
        <xdr:cNvPr id="1659" name="오른쪽으로 구부러진 화살표 165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796</xdr:row>
      <xdr:rowOff>0</xdr:rowOff>
    </xdr:from>
    <xdr:to>
      <xdr:col>3</xdr:col>
      <xdr:colOff>304800</xdr:colOff>
      <xdr:row>798</xdr:row>
      <xdr:rowOff>6350</xdr:rowOff>
    </xdr:to>
    <xdr:sp macro="" textlink="">
      <xdr:nvSpPr>
        <xdr:cNvPr id="1660" name="오른쪽으로 구부러진 화살표 165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798</xdr:row>
      <xdr:rowOff>0</xdr:rowOff>
    </xdr:from>
    <xdr:to>
      <xdr:col>3</xdr:col>
      <xdr:colOff>304800</xdr:colOff>
      <xdr:row>800</xdr:row>
      <xdr:rowOff>6350</xdr:rowOff>
    </xdr:to>
    <xdr:sp macro="" textlink="">
      <xdr:nvSpPr>
        <xdr:cNvPr id="1661" name="오른쪽으로 구부러진 화살표 166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800</xdr:row>
      <xdr:rowOff>0</xdr:rowOff>
    </xdr:from>
    <xdr:to>
      <xdr:col>3</xdr:col>
      <xdr:colOff>304800</xdr:colOff>
      <xdr:row>802</xdr:row>
      <xdr:rowOff>6350</xdr:rowOff>
    </xdr:to>
    <xdr:sp macro="" textlink="">
      <xdr:nvSpPr>
        <xdr:cNvPr id="1662" name="오른쪽으로 구부러진 화살표 166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795</xdr:row>
      <xdr:rowOff>76200</xdr:rowOff>
    </xdr:from>
    <xdr:to>
      <xdr:col>4</xdr:col>
      <xdr:colOff>0</xdr:colOff>
      <xdr:row>795</xdr:row>
      <xdr:rowOff>190500</xdr:rowOff>
    </xdr:to>
    <xdr:sp macro="" textlink="">
      <xdr:nvSpPr>
        <xdr:cNvPr id="1663" name="오른쪽 화살표 166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802</xdr:row>
      <xdr:rowOff>38100</xdr:rowOff>
    </xdr:from>
    <xdr:to>
      <xdr:col>3</xdr:col>
      <xdr:colOff>304800</xdr:colOff>
      <xdr:row>802</xdr:row>
      <xdr:rowOff>165100</xdr:rowOff>
    </xdr:to>
    <xdr:sp macro="" textlink="">
      <xdr:nvSpPr>
        <xdr:cNvPr id="1664" name="왼쪽 화살표 166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805</xdr:row>
      <xdr:rowOff>0</xdr:rowOff>
    </xdr:from>
    <xdr:to>
      <xdr:col>3</xdr:col>
      <xdr:colOff>304800</xdr:colOff>
      <xdr:row>807</xdr:row>
      <xdr:rowOff>6350</xdr:rowOff>
    </xdr:to>
    <xdr:sp macro="" textlink="">
      <xdr:nvSpPr>
        <xdr:cNvPr id="1665" name="오른쪽으로 구부러진 화살표 166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807</xdr:row>
      <xdr:rowOff>0</xdr:rowOff>
    </xdr:from>
    <xdr:to>
      <xdr:col>3</xdr:col>
      <xdr:colOff>304800</xdr:colOff>
      <xdr:row>809</xdr:row>
      <xdr:rowOff>6350</xdr:rowOff>
    </xdr:to>
    <xdr:sp macro="" textlink="">
      <xdr:nvSpPr>
        <xdr:cNvPr id="1666" name="오른쪽으로 구부러진 화살표 166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809</xdr:row>
      <xdr:rowOff>0</xdr:rowOff>
    </xdr:from>
    <xdr:to>
      <xdr:col>3</xdr:col>
      <xdr:colOff>304800</xdr:colOff>
      <xdr:row>811</xdr:row>
      <xdr:rowOff>6350</xdr:rowOff>
    </xdr:to>
    <xdr:sp macro="" textlink="">
      <xdr:nvSpPr>
        <xdr:cNvPr id="1667" name="오른쪽으로 구부러진 화살표 166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805</xdr:row>
      <xdr:rowOff>0</xdr:rowOff>
    </xdr:from>
    <xdr:to>
      <xdr:col>3</xdr:col>
      <xdr:colOff>304800</xdr:colOff>
      <xdr:row>807</xdr:row>
      <xdr:rowOff>6350</xdr:rowOff>
    </xdr:to>
    <xdr:sp macro="" textlink="">
      <xdr:nvSpPr>
        <xdr:cNvPr id="1668" name="오른쪽으로 구부러진 화살표 166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807</xdr:row>
      <xdr:rowOff>0</xdr:rowOff>
    </xdr:from>
    <xdr:to>
      <xdr:col>3</xdr:col>
      <xdr:colOff>304800</xdr:colOff>
      <xdr:row>809</xdr:row>
      <xdr:rowOff>6350</xdr:rowOff>
    </xdr:to>
    <xdr:sp macro="" textlink="">
      <xdr:nvSpPr>
        <xdr:cNvPr id="1669" name="오른쪽으로 구부러진 화살표 166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809</xdr:row>
      <xdr:rowOff>0</xdr:rowOff>
    </xdr:from>
    <xdr:to>
      <xdr:col>3</xdr:col>
      <xdr:colOff>304800</xdr:colOff>
      <xdr:row>811</xdr:row>
      <xdr:rowOff>6350</xdr:rowOff>
    </xdr:to>
    <xdr:sp macro="" textlink="">
      <xdr:nvSpPr>
        <xdr:cNvPr id="1670" name="오른쪽으로 구부러진 화살표 166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804</xdr:row>
      <xdr:rowOff>76200</xdr:rowOff>
    </xdr:from>
    <xdr:to>
      <xdr:col>4</xdr:col>
      <xdr:colOff>0</xdr:colOff>
      <xdr:row>804</xdr:row>
      <xdr:rowOff>190500</xdr:rowOff>
    </xdr:to>
    <xdr:sp macro="" textlink="">
      <xdr:nvSpPr>
        <xdr:cNvPr id="1671" name="오른쪽 화살표 167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811</xdr:row>
      <xdr:rowOff>38100</xdr:rowOff>
    </xdr:from>
    <xdr:to>
      <xdr:col>3</xdr:col>
      <xdr:colOff>304800</xdr:colOff>
      <xdr:row>811</xdr:row>
      <xdr:rowOff>165100</xdr:rowOff>
    </xdr:to>
    <xdr:sp macro="" textlink="">
      <xdr:nvSpPr>
        <xdr:cNvPr id="1672" name="왼쪽 화살표 167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814</xdr:row>
      <xdr:rowOff>0</xdr:rowOff>
    </xdr:from>
    <xdr:to>
      <xdr:col>3</xdr:col>
      <xdr:colOff>304800</xdr:colOff>
      <xdr:row>816</xdr:row>
      <xdr:rowOff>6350</xdr:rowOff>
    </xdr:to>
    <xdr:sp macro="" textlink="">
      <xdr:nvSpPr>
        <xdr:cNvPr id="1673" name="오른쪽으로 구부러진 화살표 167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816</xdr:row>
      <xdr:rowOff>0</xdr:rowOff>
    </xdr:from>
    <xdr:to>
      <xdr:col>3</xdr:col>
      <xdr:colOff>304800</xdr:colOff>
      <xdr:row>818</xdr:row>
      <xdr:rowOff>6350</xdr:rowOff>
    </xdr:to>
    <xdr:sp macro="" textlink="">
      <xdr:nvSpPr>
        <xdr:cNvPr id="1674" name="오른쪽으로 구부러진 화살표 167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818</xdr:row>
      <xdr:rowOff>0</xdr:rowOff>
    </xdr:from>
    <xdr:to>
      <xdr:col>3</xdr:col>
      <xdr:colOff>304800</xdr:colOff>
      <xdr:row>820</xdr:row>
      <xdr:rowOff>6350</xdr:rowOff>
    </xdr:to>
    <xdr:sp macro="" textlink="">
      <xdr:nvSpPr>
        <xdr:cNvPr id="1675" name="오른쪽으로 구부러진 화살표 167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814</xdr:row>
      <xdr:rowOff>0</xdr:rowOff>
    </xdr:from>
    <xdr:to>
      <xdr:col>3</xdr:col>
      <xdr:colOff>304800</xdr:colOff>
      <xdr:row>816</xdr:row>
      <xdr:rowOff>6350</xdr:rowOff>
    </xdr:to>
    <xdr:sp macro="" textlink="">
      <xdr:nvSpPr>
        <xdr:cNvPr id="1676" name="오른쪽으로 구부러진 화살표 167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816</xdr:row>
      <xdr:rowOff>0</xdr:rowOff>
    </xdr:from>
    <xdr:to>
      <xdr:col>3</xdr:col>
      <xdr:colOff>304800</xdr:colOff>
      <xdr:row>818</xdr:row>
      <xdr:rowOff>6350</xdr:rowOff>
    </xdr:to>
    <xdr:sp macro="" textlink="">
      <xdr:nvSpPr>
        <xdr:cNvPr id="1677" name="오른쪽으로 구부러진 화살표 167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818</xdr:row>
      <xdr:rowOff>0</xdr:rowOff>
    </xdr:from>
    <xdr:to>
      <xdr:col>3</xdr:col>
      <xdr:colOff>304800</xdr:colOff>
      <xdr:row>820</xdr:row>
      <xdr:rowOff>6350</xdr:rowOff>
    </xdr:to>
    <xdr:sp macro="" textlink="">
      <xdr:nvSpPr>
        <xdr:cNvPr id="1678" name="오른쪽으로 구부러진 화살표 167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813</xdr:row>
      <xdr:rowOff>76200</xdr:rowOff>
    </xdr:from>
    <xdr:to>
      <xdr:col>4</xdr:col>
      <xdr:colOff>0</xdr:colOff>
      <xdr:row>813</xdr:row>
      <xdr:rowOff>190500</xdr:rowOff>
    </xdr:to>
    <xdr:sp macro="" textlink="">
      <xdr:nvSpPr>
        <xdr:cNvPr id="1679" name="오른쪽 화살표 167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820</xdr:row>
      <xdr:rowOff>38100</xdr:rowOff>
    </xdr:from>
    <xdr:to>
      <xdr:col>3</xdr:col>
      <xdr:colOff>304800</xdr:colOff>
      <xdr:row>820</xdr:row>
      <xdr:rowOff>165100</xdr:rowOff>
    </xdr:to>
    <xdr:sp macro="" textlink="">
      <xdr:nvSpPr>
        <xdr:cNvPr id="1680" name="왼쪽 화살표 167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823</xdr:row>
      <xdr:rowOff>0</xdr:rowOff>
    </xdr:from>
    <xdr:to>
      <xdr:col>3</xdr:col>
      <xdr:colOff>304800</xdr:colOff>
      <xdr:row>825</xdr:row>
      <xdr:rowOff>6350</xdr:rowOff>
    </xdr:to>
    <xdr:sp macro="" textlink="">
      <xdr:nvSpPr>
        <xdr:cNvPr id="1681" name="오른쪽으로 구부러진 화살표 168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825</xdr:row>
      <xdr:rowOff>0</xdr:rowOff>
    </xdr:from>
    <xdr:to>
      <xdr:col>3</xdr:col>
      <xdr:colOff>304800</xdr:colOff>
      <xdr:row>827</xdr:row>
      <xdr:rowOff>6350</xdr:rowOff>
    </xdr:to>
    <xdr:sp macro="" textlink="">
      <xdr:nvSpPr>
        <xdr:cNvPr id="1682" name="오른쪽으로 구부러진 화살표 168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827</xdr:row>
      <xdr:rowOff>0</xdr:rowOff>
    </xdr:from>
    <xdr:to>
      <xdr:col>3</xdr:col>
      <xdr:colOff>304800</xdr:colOff>
      <xdr:row>829</xdr:row>
      <xdr:rowOff>6350</xdr:rowOff>
    </xdr:to>
    <xdr:sp macro="" textlink="">
      <xdr:nvSpPr>
        <xdr:cNvPr id="1683" name="오른쪽으로 구부러진 화살표 168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823</xdr:row>
      <xdr:rowOff>0</xdr:rowOff>
    </xdr:from>
    <xdr:to>
      <xdr:col>3</xdr:col>
      <xdr:colOff>304800</xdr:colOff>
      <xdr:row>825</xdr:row>
      <xdr:rowOff>6350</xdr:rowOff>
    </xdr:to>
    <xdr:sp macro="" textlink="">
      <xdr:nvSpPr>
        <xdr:cNvPr id="1684" name="오른쪽으로 구부러진 화살표 168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825</xdr:row>
      <xdr:rowOff>0</xdr:rowOff>
    </xdr:from>
    <xdr:to>
      <xdr:col>3</xdr:col>
      <xdr:colOff>304800</xdr:colOff>
      <xdr:row>827</xdr:row>
      <xdr:rowOff>6350</xdr:rowOff>
    </xdr:to>
    <xdr:sp macro="" textlink="">
      <xdr:nvSpPr>
        <xdr:cNvPr id="1685" name="오른쪽으로 구부러진 화살표 168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827</xdr:row>
      <xdr:rowOff>0</xdr:rowOff>
    </xdr:from>
    <xdr:to>
      <xdr:col>3</xdr:col>
      <xdr:colOff>304800</xdr:colOff>
      <xdr:row>829</xdr:row>
      <xdr:rowOff>6350</xdr:rowOff>
    </xdr:to>
    <xdr:sp macro="" textlink="">
      <xdr:nvSpPr>
        <xdr:cNvPr id="1686" name="오른쪽으로 구부러진 화살표 168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822</xdr:row>
      <xdr:rowOff>76200</xdr:rowOff>
    </xdr:from>
    <xdr:to>
      <xdr:col>4</xdr:col>
      <xdr:colOff>0</xdr:colOff>
      <xdr:row>822</xdr:row>
      <xdr:rowOff>190500</xdr:rowOff>
    </xdr:to>
    <xdr:sp macro="" textlink="">
      <xdr:nvSpPr>
        <xdr:cNvPr id="1687" name="오른쪽 화살표 168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829</xdr:row>
      <xdr:rowOff>38100</xdr:rowOff>
    </xdr:from>
    <xdr:to>
      <xdr:col>3</xdr:col>
      <xdr:colOff>304800</xdr:colOff>
      <xdr:row>829</xdr:row>
      <xdr:rowOff>165100</xdr:rowOff>
    </xdr:to>
    <xdr:sp macro="" textlink="">
      <xdr:nvSpPr>
        <xdr:cNvPr id="1688" name="왼쪽 화살표 168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832</xdr:row>
      <xdr:rowOff>0</xdr:rowOff>
    </xdr:from>
    <xdr:to>
      <xdr:col>3</xdr:col>
      <xdr:colOff>304800</xdr:colOff>
      <xdr:row>834</xdr:row>
      <xdr:rowOff>6350</xdr:rowOff>
    </xdr:to>
    <xdr:sp macro="" textlink="">
      <xdr:nvSpPr>
        <xdr:cNvPr id="1689" name="오른쪽으로 구부러진 화살표 168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834</xdr:row>
      <xdr:rowOff>0</xdr:rowOff>
    </xdr:from>
    <xdr:to>
      <xdr:col>3</xdr:col>
      <xdr:colOff>304800</xdr:colOff>
      <xdr:row>836</xdr:row>
      <xdr:rowOff>6350</xdr:rowOff>
    </xdr:to>
    <xdr:sp macro="" textlink="">
      <xdr:nvSpPr>
        <xdr:cNvPr id="1690" name="오른쪽으로 구부러진 화살표 168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836</xdr:row>
      <xdr:rowOff>0</xdr:rowOff>
    </xdr:from>
    <xdr:to>
      <xdr:col>3</xdr:col>
      <xdr:colOff>304800</xdr:colOff>
      <xdr:row>838</xdr:row>
      <xdr:rowOff>6350</xdr:rowOff>
    </xdr:to>
    <xdr:sp macro="" textlink="">
      <xdr:nvSpPr>
        <xdr:cNvPr id="1691" name="오른쪽으로 구부러진 화살표 169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832</xdr:row>
      <xdr:rowOff>0</xdr:rowOff>
    </xdr:from>
    <xdr:to>
      <xdr:col>3</xdr:col>
      <xdr:colOff>304800</xdr:colOff>
      <xdr:row>834</xdr:row>
      <xdr:rowOff>6350</xdr:rowOff>
    </xdr:to>
    <xdr:sp macro="" textlink="">
      <xdr:nvSpPr>
        <xdr:cNvPr id="1692" name="오른쪽으로 구부러진 화살표 169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834</xdr:row>
      <xdr:rowOff>0</xdr:rowOff>
    </xdr:from>
    <xdr:to>
      <xdr:col>3</xdr:col>
      <xdr:colOff>304800</xdr:colOff>
      <xdr:row>836</xdr:row>
      <xdr:rowOff>6350</xdr:rowOff>
    </xdr:to>
    <xdr:sp macro="" textlink="">
      <xdr:nvSpPr>
        <xdr:cNvPr id="1693" name="오른쪽으로 구부러진 화살표 169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836</xdr:row>
      <xdr:rowOff>0</xdr:rowOff>
    </xdr:from>
    <xdr:to>
      <xdr:col>3</xdr:col>
      <xdr:colOff>304800</xdr:colOff>
      <xdr:row>838</xdr:row>
      <xdr:rowOff>6350</xdr:rowOff>
    </xdr:to>
    <xdr:sp macro="" textlink="">
      <xdr:nvSpPr>
        <xdr:cNvPr id="1694" name="오른쪽으로 구부러진 화살표 169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831</xdr:row>
      <xdr:rowOff>76200</xdr:rowOff>
    </xdr:from>
    <xdr:to>
      <xdr:col>4</xdr:col>
      <xdr:colOff>0</xdr:colOff>
      <xdr:row>831</xdr:row>
      <xdr:rowOff>190500</xdr:rowOff>
    </xdr:to>
    <xdr:sp macro="" textlink="">
      <xdr:nvSpPr>
        <xdr:cNvPr id="1695" name="오른쪽 화살표 169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838</xdr:row>
      <xdr:rowOff>38100</xdr:rowOff>
    </xdr:from>
    <xdr:to>
      <xdr:col>3</xdr:col>
      <xdr:colOff>304800</xdr:colOff>
      <xdr:row>838</xdr:row>
      <xdr:rowOff>165100</xdr:rowOff>
    </xdr:to>
    <xdr:sp macro="" textlink="">
      <xdr:nvSpPr>
        <xdr:cNvPr id="1696" name="왼쪽 화살표 169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841</xdr:row>
      <xdr:rowOff>0</xdr:rowOff>
    </xdr:from>
    <xdr:to>
      <xdr:col>3</xdr:col>
      <xdr:colOff>304800</xdr:colOff>
      <xdr:row>843</xdr:row>
      <xdr:rowOff>6350</xdr:rowOff>
    </xdr:to>
    <xdr:sp macro="" textlink="">
      <xdr:nvSpPr>
        <xdr:cNvPr id="1697" name="오른쪽으로 구부러진 화살표 169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843</xdr:row>
      <xdr:rowOff>0</xdr:rowOff>
    </xdr:from>
    <xdr:to>
      <xdr:col>3</xdr:col>
      <xdr:colOff>304800</xdr:colOff>
      <xdr:row>845</xdr:row>
      <xdr:rowOff>6350</xdr:rowOff>
    </xdr:to>
    <xdr:sp macro="" textlink="">
      <xdr:nvSpPr>
        <xdr:cNvPr id="1698" name="오른쪽으로 구부러진 화살표 169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845</xdr:row>
      <xdr:rowOff>0</xdr:rowOff>
    </xdr:from>
    <xdr:to>
      <xdr:col>3</xdr:col>
      <xdr:colOff>304800</xdr:colOff>
      <xdr:row>847</xdr:row>
      <xdr:rowOff>6350</xdr:rowOff>
    </xdr:to>
    <xdr:sp macro="" textlink="">
      <xdr:nvSpPr>
        <xdr:cNvPr id="1699" name="오른쪽으로 구부러진 화살표 169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841</xdr:row>
      <xdr:rowOff>0</xdr:rowOff>
    </xdr:from>
    <xdr:to>
      <xdr:col>3</xdr:col>
      <xdr:colOff>304800</xdr:colOff>
      <xdr:row>843</xdr:row>
      <xdr:rowOff>6350</xdr:rowOff>
    </xdr:to>
    <xdr:sp macro="" textlink="">
      <xdr:nvSpPr>
        <xdr:cNvPr id="1700" name="오른쪽으로 구부러진 화살표 169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843</xdr:row>
      <xdr:rowOff>0</xdr:rowOff>
    </xdr:from>
    <xdr:to>
      <xdr:col>3</xdr:col>
      <xdr:colOff>304800</xdr:colOff>
      <xdr:row>845</xdr:row>
      <xdr:rowOff>6350</xdr:rowOff>
    </xdr:to>
    <xdr:sp macro="" textlink="">
      <xdr:nvSpPr>
        <xdr:cNvPr id="1701" name="오른쪽으로 구부러진 화살표 170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845</xdr:row>
      <xdr:rowOff>0</xdr:rowOff>
    </xdr:from>
    <xdr:to>
      <xdr:col>3</xdr:col>
      <xdr:colOff>304800</xdr:colOff>
      <xdr:row>847</xdr:row>
      <xdr:rowOff>6350</xdr:rowOff>
    </xdr:to>
    <xdr:sp macro="" textlink="">
      <xdr:nvSpPr>
        <xdr:cNvPr id="1702" name="오른쪽으로 구부러진 화살표 170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840</xdr:row>
      <xdr:rowOff>76200</xdr:rowOff>
    </xdr:from>
    <xdr:to>
      <xdr:col>4</xdr:col>
      <xdr:colOff>0</xdr:colOff>
      <xdr:row>840</xdr:row>
      <xdr:rowOff>190500</xdr:rowOff>
    </xdr:to>
    <xdr:sp macro="" textlink="">
      <xdr:nvSpPr>
        <xdr:cNvPr id="1703" name="오른쪽 화살표 170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847</xdr:row>
      <xdr:rowOff>38100</xdr:rowOff>
    </xdr:from>
    <xdr:to>
      <xdr:col>3</xdr:col>
      <xdr:colOff>304800</xdr:colOff>
      <xdr:row>847</xdr:row>
      <xdr:rowOff>165100</xdr:rowOff>
    </xdr:to>
    <xdr:sp macro="" textlink="">
      <xdr:nvSpPr>
        <xdr:cNvPr id="1704" name="왼쪽 화살표 170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850</xdr:row>
      <xdr:rowOff>0</xdr:rowOff>
    </xdr:from>
    <xdr:to>
      <xdr:col>3</xdr:col>
      <xdr:colOff>304800</xdr:colOff>
      <xdr:row>852</xdr:row>
      <xdr:rowOff>6350</xdr:rowOff>
    </xdr:to>
    <xdr:sp macro="" textlink="">
      <xdr:nvSpPr>
        <xdr:cNvPr id="1705" name="오른쪽으로 구부러진 화살표 170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852</xdr:row>
      <xdr:rowOff>0</xdr:rowOff>
    </xdr:from>
    <xdr:to>
      <xdr:col>3</xdr:col>
      <xdr:colOff>304800</xdr:colOff>
      <xdr:row>854</xdr:row>
      <xdr:rowOff>6350</xdr:rowOff>
    </xdr:to>
    <xdr:sp macro="" textlink="">
      <xdr:nvSpPr>
        <xdr:cNvPr id="1706" name="오른쪽으로 구부러진 화살표 170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854</xdr:row>
      <xdr:rowOff>0</xdr:rowOff>
    </xdr:from>
    <xdr:to>
      <xdr:col>3</xdr:col>
      <xdr:colOff>304800</xdr:colOff>
      <xdr:row>856</xdr:row>
      <xdr:rowOff>6350</xdr:rowOff>
    </xdr:to>
    <xdr:sp macro="" textlink="">
      <xdr:nvSpPr>
        <xdr:cNvPr id="1707" name="오른쪽으로 구부러진 화살표 170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850</xdr:row>
      <xdr:rowOff>0</xdr:rowOff>
    </xdr:from>
    <xdr:to>
      <xdr:col>3</xdr:col>
      <xdr:colOff>304800</xdr:colOff>
      <xdr:row>852</xdr:row>
      <xdr:rowOff>6350</xdr:rowOff>
    </xdr:to>
    <xdr:sp macro="" textlink="">
      <xdr:nvSpPr>
        <xdr:cNvPr id="1708" name="오른쪽으로 구부러진 화살표 170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852</xdr:row>
      <xdr:rowOff>0</xdr:rowOff>
    </xdr:from>
    <xdr:to>
      <xdr:col>3</xdr:col>
      <xdr:colOff>304800</xdr:colOff>
      <xdr:row>854</xdr:row>
      <xdr:rowOff>6350</xdr:rowOff>
    </xdr:to>
    <xdr:sp macro="" textlink="">
      <xdr:nvSpPr>
        <xdr:cNvPr id="1709" name="오른쪽으로 구부러진 화살표 170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854</xdr:row>
      <xdr:rowOff>0</xdr:rowOff>
    </xdr:from>
    <xdr:to>
      <xdr:col>3</xdr:col>
      <xdr:colOff>304800</xdr:colOff>
      <xdr:row>856</xdr:row>
      <xdr:rowOff>6350</xdr:rowOff>
    </xdr:to>
    <xdr:sp macro="" textlink="">
      <xdr:nvSpPr>
        <xdr:cNvPr id="1710" name="오른쪽으로 구부러진 화살표 170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849</xdr:row>
      <xdr:rowOff>76200</xdr:rowOff>
    </xdr:from>
    <xdr:to>
      <xdr:col>4</xdr:col>
      <xdr:colOff>0</xdr:colOff>
      <xdr:row>849</xdr:row>
      <xdr:rowOff>190500</xdr:rowOff>
    </xdr:to>
    <xdr:sp macro="" textlink="">
      <xdr:nvSpPr>
        <xdr:cNvPr id="1711" name="오른쪽 화살표 171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856</xdr:row>
      <xdr:rowOff>38100</xdr:rowOff>
    </xdr:from>
    <xdr:to>
      <xdr:col>3</xdr:col>
      <xdr:colOff>304800</xdr:colOff>
      <xdr:row>856</xdr:row>
      <xdr:rowOff>165100</xdr:rowOff>
    </xdr:to>
    <xdr:sp macro="" textlink="">
      <xdr:nvSpPr>
        <xdr:cNvPr id="1712" name="왼쪽 화살표 171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859</xdr:row>
      <xdr:rowOff>0</xdr:rowOff>
    </xdr:from>
    <xdr:to>
      <xdr:col>3</xdr:col>
      <xdr:colOff>304800</xdr:colOff>
      <xdr:row>861</xdr:row>
      <xdr:rowOff>6350</xdr:rowOff>
    </xdr:to>
    <xdr:sp macro="" textlink="">
      <xdr:nvSpPr>
        <xdr:cNvPr id="1713" name="오른쪽으로 구부러진 화살표 171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861</xdr:row>
      <xdr:rowOff>0</xdr:rowOff>
    </xdr:from>
    <xdr:to>
      <xdr:col>3</xdr:col>
      <xdr:colOff>304800</xdr:colOff>
      <xdr:row>863</xdr:row>
      <xdr:rowOff>6350</xdr:rowOff>
    </xdr:to>
    <xdr:sp macro="" textlink="">
      <xdr:nvSpPr>
        <xdr:cNvPr id="1714" name="오른쪽으로 구부러진 화살표 171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863</xdr:row>
      <xdr:rowOff>0</xdr:rowOff>
    </xdr:from>
    <xdr:to>
      <xdr:col>3</xdr:col>
      <xdr:colOff>304800</xdr:colOff>
      <xdr:row>865</xdr:row>
      <xdr:rowOff>6350</xdr:rowOff>
    </xdr:to>
    <xdr:sp macro="" textlink="">
      <xdr:nvSpPr>
        <xdr:cNvPr id="1715" name="오른쪽으로 구부러진 화살표 171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859</xdr:row>
      <xdr:rowOff>0</xdr:rowOff>
    </xdr:from>
    <xdr:to>
      <xdr:col>3</xdr:col>
      <xdr:colOff>304800</xdr:colOff>
      <xdr:row>861</xdr:row>
      <xdr:rowOff>6350</xdr:rowOff>
    </xdr:to>
    <xdr:sp macro="" textlink="">
      <xdr:nvSpPr>
        <xdr:cNvPr id="1716" name="오른쪽으로 구부러진 화살표 171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861</xdr:row>
      <xdr:rowOff>0</xdr:rowOff>
    </xdr:from>
    <xdr:to>
      <xdr:col>3</xdr:col>
      <xdr:colOff>304800</xdr:colOff>
      <xdr:row>863</xdr:row>
      <xdr:rowOff>6350</xdr:rowOff>
    </xdr:to>
    <xdr:sp macro="" textlink="">
      <xdr:nvSpPr>
        <xdr:cNvPr id="1717" name="오른쪽으로 구부러진 화살표 171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863</xdr:row>
      <xdr:rowOff>0</xdr:rowOff>
    </xdr:from>
    <xdr:to>
      <xdr:col>3</xdr:col>
      <xdr:colOff>304800</xdr:colOff>
      <xdr:row>865</xdr:row>
      <xdr:rowOff>6350</xdr:rowOff>
    </xdr:to>
    <xdr:sp macro="" textlink="">
      <xdr:nvSpPr>
        <xdr:cNvPr id="1718" name="오른쪽으로 구부러진 화살표 171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858</xdr:row>
      <xdr:rowOff>76200</xdr:rowOff>
    </xdr:from>
    <xdr:to>
      <xdr:col>4</xdr:col>
      <xdr:colOff>0</xdr:colOff>
      <xdr:row>858</xdr:row>
      <xdr:rowOff>190500</xdr:rowOff>
    </xdr:to>
    <xdr:sp macro="" textlink="">
      <xdr:nvSpPr>
        <xdr:cNvPr id="1719" name="오른쪽 화살표 171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865</xdr:row>
      <xdr:rowOff>38100</xdr:rowOff>
    </xdr:from>
    <xdr:to>
      <xdr:col>3</xdr:col>
      <xdr:colOff>304800</xdr:colOff>
      <xdr:row>865</xdr:row>
      <xdr:rowOff>165100</xdr:rowOff>
    </xdr:to>
    <xdr:sp macro="" textlink="">
      <xdr:nvSpPr>
        <xdr:cNvPr id="1720" name="왼쪽 화살표 171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868</xdr:row>
      <xdr:rowOff>0</xdr:rowOff>
    </xdr:from>
    <xdr:to>
      <xdr:col>3</xdr:col>
      <xdr:colOff>304800</xdr:colOff>
      <xdr:row>870</xdr:row>
      <xdr:rowOff>6350</xdr:rowOff>
    </xdr:to>
    <xdr:sp macro="" textlink="">
      <xdr:nvSpPr>
        <xdr:cNvPr id="1721" name="오른쪽으로 구부러진 화살표 172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870</xdr:row>
      <xdr:rowOff>0</xdr:rowOff>
    </xdr:from>
    <xdr:to>
      <xdr:col>3</xdr:col>
      <xdr:colOff>304800</xdr:colOff>
      <xdr:row>872</xdr:row>
      <xdr:rowOff>6350</xdr:rowOff>
    </xdr:to>
    <xdr:sp macro="" textlink="">
      <xdr:nvSpPr>
        <xdr:cNvPr id="1722" name="오른쪽으로 구부러진 화살표 172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872</xdr:row>
      <xdr:rowOff>0</xdr:rowOff>
    </xdr:from>
    <xdr:to>
      <xdr:col>3</xdr:col>
      <xdr:colOff>304800</xdr:colOff>
      <xdr:row>874</xdr:row>
      <xdr:rowOff>6350</xdr:rowOff>
    </xdr:to>
    <xdr:sp macro="" textlink="">
      <xdr:nvSpPr>
        <xdr:cNvPr id="1723" name="오른쪽으로 구부러진 화살표 172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868</xdr:row>
      <xdr:rowOff>0</xdr:rowOff>
    </xdr:from>
    <xdr:to>
      <xdr:col>3</xdr:col>
      <xdr:colOff>304800</xdr:colOff>
      <xdr:row>870</xdr:row>
      <xdr:rowOff>6350</xdr:rowOff>
    </xdr:to>
    <xdr:sp macro="" textlink="">
      <xdr:nvSpPr>
        <xdr:cNvPr id="1724" name="오른쪽으로 구부러진 화살표 172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870</xdr:row>
      <xdr:rowOff>0</xdr:rowOff>
    </xdr:from>
    <xdr:to>
      <xdr:col>3</xdr:col>
      <xdr:colOff>304800</xdr:colOff>
      <xdr:row>872</xdr:row>
      <xdr:rowOff>6350</xdr:rowOff>
    </xdr:to>
    <xdr:sp macro="" textlink="">
      <xdr:nvSpPr>
        <xdr:cNvPr id="1725" name="오른쪽으로 구부러진 화살표 172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872</xdr:row>
      <xdr:rowOff>0</xdr:rowOff>
    </xdr:from>
    <xdr:to>
      <xdr:col>3</xdr:col>
      <xdr:colOff>304800</xdr:colOff>
      <xdr:row>874</xdr:row>
      <xdr:rowOff>6350</xdr:rowOff>
    </xdr:to>
    <xdr:sp macro="" textlink="">
      <xdr:nvSpPr>
        <xdr:cNvPr id="1726" name="오른쪽으로 구부러진 화살표 172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867</xdr:row>
      <xdr:rowOff>76200</xdr:rowOff>
    </xdr:from>
    <xdr:to>
      <xdr:col>4</xdr:col>
      <xdr:colOff>0</xdr:colOff>
      <xdr:row>867</xdr:row>
      <xdr:rowOff>190500</xdr:rowOff>
    </xdr:to>
    <xdr:sp macro="" textlink="">
      <xdr:nvSpPr>
        <xdr:cNvPr id="1727" name="오른쪽 화살표 172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874</xdr:row>
      <xdr:rowOff>38100</xdr:rowOff>
    </xdr:from>
    <xdr:to>
      <xdr:col>3</xdr:col>
      <xdr:colOff>304800</xdr:colOff>
      <xdr:row>874</xdr:row>
      <xdr:rowOff>165100</xdr:rowOff>
    </xdr:to>
    <xdr:sp macro="" textlink="">
      <xdr:nvSpPr>
        <xdr:cNvPr id="1728" name="왼쪽 화살표 172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877</xdr:row>
      <xdr:rowOff>0</xdr:rowOff>
    </xdr:from>
    <xdr:to>
      <xdr:col>3</xdr:col>
      <xdr:colOff>304800</xdr:colOff>
      <xdr:row>879</xdr:row>
      <xdr:rowOff>6350</xdr:rowOff>
    </xdr:to>
    <xdr:sp macro="" textlink="">
      <xdr:nvSpPr>
        <xdr:cNvPr id="1729" name="오른쪽으로 구부러진 화살표 1728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879</xdr:row>
      <xdr:rowOff>0</xdr:rowOff>
    </xdr:from>
    <xdr:to>
      <xdr:col>3</xdr:col>
      <xdr:colOff>304800</xdr:colOff>
      <xdr:row>881</xdr:row>
      <xdr:rowOff>6350</xdr:rowOff>
    </xdr:to>
    <xdr:sp macro="" textlink="">
      <xdr:nvSpPr>
        <xdr:cNvPr id="1730" name="오른쪽으로 구부러진 화살표 1729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881</xdr:row>
      <xdr:rowOff>0</xdr:rowOff>
    </xdr:from>
    <xdr:to>
      <xdr:col>3</xdr:col>
      <xdr:colOff>304800</xdr:colOff>
      <xdr:row>883</xdr:row>
      <xdr:rowOff>6350</xdr:rowOff>
    </xdr:to>
    <xdr:sp macro="" textlink="">
      <xdr:nvSpPr>
        <xdr:cNvPr id="1731" name="오른쪽으로 구부러진 화살표 1730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877</xdr:row>
      <xdr:rowOff>0</xdr:rowOff>
    </xdr:from>
    <xdr:to>
      <xdr:col>3</xdr:col>
      <xdr:colOff>304800</xdr:colOff>
      <xdr:row>879</xdr:row>
      <xdr:rowOff>6350</xdr:rowOff>
    </xdr:to>
    <xdr:sp macro="" textlink="">
      <xdr:nvSpPr>
        <xdr:cNvPr id="1732" name="오른쪽으로 구부러진 화살표 1731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879</xdr:row>
      <xdr:rowOff>0</xdr:rowOff>
    </xdr:from>
    <xdr:to>
      <xdr:col>3</xdr:col>
      <xdr:colOff>304800</xdr:colOff>
      <xdr:row>881</xdr:row>
      <xdr:rowOff>6350</xdr:rowOff>
    </xdr:to>
    <xdr:sp macro="" textlink="">
      <xdr:nvSpPr>
        <xdr:cNvPr id="1733" name="오른쪽으로 구부러진 화살표 1732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881</xdr:row>
      <xdr:rowOff>0</xdr:rowOff>
    </xdr:from>
    <xdr:to>
      <xdr:col>3</xdr:col>
      <xdr:colOff>304800</xdr:colOff>
      <xdr:row>883</xdr:row>
      <xdr:rowOff>6350</xdr:rowOff>
    </xdr:to>
    <xdr:sp macro="" textlink="">
      <xdr:nvSpPr>
        <xdr:cNvPr id="1734" name="오른쪽으로 구부러진 화살표 1733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876</xdr:row>
      <xdr:rowOff>76200</xdr:rowOff>
    </xdr:from>
    <xdr:to>
      <xdr:col>4</xdr:col>
      <xdr:colOff>0</xdr:colOff>
      <xdr:row>876</xdr:row>
      <xdr:rowOff>190500</xdr:rowOff>
    </xdr:to>
    <xdr:sp macro="" textlink="">
      <xdr:nvSpPr>
        <xdr:cNvPr id="1735" name="오른쪽 화살표 1734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883</xdr:row>
      <xdr:rowOff>38100</xdr:rowOff>
    </xdr:from>
    <xdr:to>
      <xdr:col>3</xdr:col>
      <xdr:colOff>304800</xdr:colOff>
      <xdr:row>883</xdr:row>
      <xdr:rowOff>165100</xdr:rowOff>
    </xdr:to>
    <xdr:sp macro="" textlink="">
      <xdr:nvSpPr>
        <xdr:cNvPr id="1736" name="왼쪽 화살표 1735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886</xdr:row>
      <xdr:rowOff>0</xdr:rowOff>
    </xdr:from>
    <xdr:to>
      <xdr:col>3</xdr:col>
      <xdr:colOff>304800</xdr:colOff>
      <xdr:row>888</xdr:row>
      <xdr:rowOff>6350</xdr:rowOff>
    </xdr:to>
    <xdr:sp macro="" textlink="">
      <xdr:nvSpPr>
        <xdr:cNvPr id="1737" name="오른쪽으로 구부러진 화살표 1736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888</xdr:row>
      <xdr:rowOff>0</xdr:rowOff>
    </xdr:from>
    <xdr:to>
      <xdr:col>3</xdr:col>
      <xdr:colOff>304800</xdr:colOff>
      <xdr:row>890</xdr:row>
      <xdr:rowOff>6350</xdr:rowOff>
    </xdr:to>
    <xdr:sp macro="" textlink="">
      <xdr:nvSpPr>
        <xdr:cNvPr id="1738" name="오른쪽으로 구부러진 화살표 1737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890</xdr:row>
      <xdr:rowOff>0</xdr:rowOff>
    </xdr:from>
    <xdr:to>
      <xdr:col>3</xdr:col>
      <xdr:colOff>304800</xdr:colOff>
      <xdr:row>892</xdr:row>
      <xdr:rowOff>6350</xdr:rowOff>
    </xdr:to>
    <xdr:sp macro="" textlink="">
      <xdr:nvSpPr>
        <xdr:cNvPr id="1739" name="오른쪽으로 구부러진 화살표 1738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886</xdr:row>
      <xdr:rowOff>0</xdr:rowOff>
    </xdr:from>
    <xdr:to>
      <xdr:col>3</xdr:col>
      <xdr:colOff>304800</xdr:colOff>
      <xdr:row>888</xdr:row>
      <xdr:rowOff>6350</xdr:rowOff>
    </xdr:to>
    <xdr:sp macro="" textlink="">
      <xdr:nvSpPr>
        <xdr:cNvPr id="1740" name="오른쪽으로 구부러진 화살표 1739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888</xdr:row>
      <xdr:rowOff>0</xdr:rowOff>
    </xdr:from>
    <xdr:to>
      <xdr:col>3</xdr:col>
      <xdr:colOff>304800</xdr:colOff>
      <xdr:row>890</xdr:row>
      <xdr:rowOff>6350</xdr:rowOff>
    </xdr:to>
    <xdr:sp macro="" textlink="">
      <xdr:nvSpPr>
        <xdr:cNvPr id="1741" name="오른쪽으로 구부러진 화살표 1740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890</xdr:row>
      <xdr:rowOff>0</xdr:rowOff>
    </xdr:from>
    <xdr:to>
      <xdr:col>3</xdr:col>
      <xdr:colOff>304800</xdr:colOff>
      <xdr:row>892</xdr:row>
      <xdr:rowOff>6350</xdr:rowOff>
    </xdr:to>
    <xdr:sp macro="" textlink="">
      <xdr:nvSpPr>
        <xdr:cNvPr id="1742" name="오른쪽으로 구부러진 화살표 1741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885</xdr:row>
      <xdr:rowOff>76200</xdr:rowOff>
    </xdr:from>
    <xdr:to>
      <xdr:col>4</xdr:col>
      <xdr:colOff>0</xdr:colOff>
      <xdr:row>885</xdr:row>
      <xdr:rowOff>190500</xdr:rowOff>
    </xdr:to>
    <xdr:sp macro="" textlink="">
      <xdr:nvSpPr>
        <xdr:cNvPr id="1743" name="오른쪽 화살표 1742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892</xdr:row>
      <xdr:rowOff>38100</xdr:rowOff>
    </xdr:from>
    <xdr:to>
      <xdr:col>3</xdr:col>
      <xdr:colOff>304800</xdr:colOff>
      <xdr:row>892</xdr:row>
      <xdr:rowOff>165100</xdr:rowOff>
    </xdr:to>
    <xdr:sp macro="" textlink="">
      <xdr:nvSpPr>
        <xdr:cNvPr id="1744" name="왼쪽 화살표 1743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895</xdr:row>
      <xdr:rowOff>0</xdr:rowOff>
    </xdr:from>
    <xdr:to>
      <xdr:col>3</xdr:col>
      <xdr:colOff>304800</xdr:colOff>
      <xdr:row>897</xdr:row>
      <xdr:rowOff>6350</xdr:rowOff>
    </xdr:to>
    <xdr:sp macro="" textlink="">
      <xdr:nvSpPr>
        <xdr:cNvPr id="1745" name="오른쪽으로 구부러진 화살표 1744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897</xdr:row>
      <xdr:rowOff>0</xdr:rowOff>
    </xdr:from>
    <xdr:to>
      <xdr:col>3</xdr:col>
      <xdr:colOff>304800</xdr:colOff>
      <xdr:row>899</xdr:row>
      <xdr:rowOff>6350</xdr:rowOff>
    </xdr:to>
    <xdr:sp macro="" textlink="">
      <xdr:nvSpPr>
        <xdr:cNvPr id="1746" name="오른쪽으로 구부러진 화살표 1745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899</xdr:row>
      <xdr:rowOff>0</xdr:rowOff>
    </xdr:from>
    <xdr:to>
      <xdr:col>3</xdr:col>
      <xdr:colOff>304800</xdr:colOff>
      <xdr:row>901</xdr:row>
      <xdr:rowOff>6350</xdr:rowOff>
    </xdr:to>
    <xdr:sp macro="" textlink="">
      <xdr:nvSpPr>
        <xdr:cNvPr id="1747" name="오른쪽으로 구부러진 화살표 1746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895</xdr:row>
      <xdr:rowOff>0</xdr:rowOff>
    </xdr:from>
    <xdr:to>
      <xdr:col>3</xdr:col>
      <xdr:colOff>304800</xdr:colOff>
      <xdr:row>897</xdr:row>
      <xdr:rowOff>6350</xdr:rowOff>
    </xdr:to>
    <xdr:sp macro="" textlink="">
      <xdr:nvSpPr>
        <xdr:cNvPr id="1748" name="오른쪽으로 구부러진 화살표 1747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897</xdr:row>
      <xdr:rowOff>0</xdr:rowOff>
    </xdr:from>
    <xdr:to>
      <xdr:col>3</xdr:col>
      <xdr:colOff>304800</xdr:colOff>
      <xdr:row>899</xdr:row>
      <xdr:rowOff>6350</xdr:rowOff>
    </xdr:to>
    <xdr:sp macro="" textlink="">
      <xdr:nvSpPr>
        <xdr:cNvPr id="1749" name="오른쪽으로 구부러진 화살표 1748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899</xdr:row>
      <xdr:rowOff>0</xdr:rowOff>
    </xdr:from>
    <xdr:to>
      <xdr:col>3</xdr:col>
      <xdr:colOff>304800</xdr:colOff>
      <xdr:row>901</xdr:row>
      <xdr:rowOff>6350</xdr:rowOff>
    </xdr:to>
    <xdr:sp macro="" textlink="">
      <xdr:nvSpPr>
        <xdr:cNvPr id="1750" name="오른쪽으로 구부러진 화살표 1749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894</xdr:row>
      <xdr:rowOff>76200</xdr:rowOff>
    </xdr:from>
    <xdr:to>
      <xdr:col>4</xdr:col>
      <xdr:colOff>0</xdr:colOff>
      <xdr:row>894</xdr:row>
      <xdr:rowOff>190500</xdr:rowOff>
    </xdr:to>
    <xdr:sp macro="" textlink="">
      <xdr:nvSpPr>
        <xdr:cNvPr id="1751" name="오른쪽 화살표 1750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901</xdr:row>
      <xdr:rowOff>38100</xdr:rowOff>
    </xdr:from>
    <xdr:to>
      <xdr:col>3</xdr:col>
      <xdr:colOff>304800</xdr:colOff>
      <xdr:row>901</xdr:row>
      <xdr:rowOff>165100</xdr:rowOff>
    </xdr:to>
    <xdr:sp macro="" textlink="">
      <xdr:nvSpPr>
        <xdr:cNvPr id="1752" name="왼쪽 화살표 1751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904</xdr:row>
      <xdr:rowOff>0</xdr:rowOff>
    </xdr:from>
    <xdr:to>
      <xdr:col>3</xdr:col>
      <xdr:colOff>304800</xdr:colOff>
      <xdr:row>906</xdr:row>
      <xdr:rowOff>6350</xdr:rowOff>
    </xdr:to>
    <xdr:sp macro="" textlink="">
      <xdr:nvSpPr>
        <xdr:cNvPr id="1753" name="오른쪽으로 구부러진 화살표 1752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906</xdr:row>
      <xdr:rowOff>0</xdr:rowOff>
    </xdr:from>
    <xdr:to>
      <xdr:col>3</xdr:col>
      <xdr:colOff>304800</xdr:colOff>
      <xdr:row>908</xdr:row>
      <xdr:rowOff>6350</xdr:rowOff>
    </xdr:to>
    <xdr:sp macro="" textlink="">
      <xdr:nvSpPr>
        <xdr:cNvPr id="1754" name="오른쪽으로 구부러진 화살표 1753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908</xdr:row>
      <xdr:rowOff>0</xdr:rowOff>
    </xdr:from>
    <xdr:to>
      <xdr:col>3</xdr:col>
      <xdr:colOff>304800</xdr:colOff>
      <xdr:row>910</xdr:row>
      <xdr:rowOff>6350</xdr:rowOff>
    </xdr:to>
    <xdr:sp macro="" textlink="">
      <xdr:nvSpPr>
        <xdr:cNvPr id="1755" name="오른쪽으로 구부러진 화살표 1754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904</xdr:row>
      <xdr:rowOff>0</xdr:rowOff>
    </xdr:from>
    <xdr:to>
      <xdr:col>3</xdr:col>
      <xdr:colOff>304800</xdr:colOff>
      <xdr:row>906</xdr:row>
      <xdr:rowOff>6350</xdr:rowOff>
    </xdr:to>
    <xdr:sp macro="" textlink="">
      <xdr:nvSpPr>
        <xdr:cNvPr id="1756" name="오른쪽으로 구부러진 화살표 1755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906</xdr:row>
      <xdr:rowOff>0</xdr:rowOff>
    </xdr:from>
    <xdr:to>
      <xdr:col>3</xdr:col>
      <xdr:colOff>304800</xdr:colOff>
      <xdr:row>908</xdr:row>
      <xdr:rowOff>6350</xdr:rowOff>
    </xdr:to>
    <xdr:sp macro="" textlink="">
      <xdr:nvSpPr>
        <xdr:cNvPr id="1757" name="오른쪽으로 구부러진 화살표 1756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908</xdr:row>
      <xdr:rowOff>0</xdr:rowOff>
    </xdr:from>
    <xdr:to>
      <xdr:col>3</xdr:col>
      <xdr:colOff>304800</xdr:colOff>
      <xdr:row>910</xdr:row>
      <xdr:rowOff>6350</xdr:rowOff>
    </xdr:to>
    <xdr:sp macro="" textlink="">
      <xdr:nvSpPr>
        <xdr:cNvPr id="1758" name="오른쪽으로 구부러진 화살표 1757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903</xdr:row>
      <xdr:rowOff>76200</xdr:rowOff>
    </xdr:from>
    <xdr:to>
      <xdr:col>4</xdr:col>
      <xdr:colOff>0</xdr:colOff>
      <xdr:row>903</xdr:row>
      <xdr:rowOff>190500</xdr:rowOff>
    </xdr:to>
    <xdr:sp macro="" textlink="">
      <xdr:nvSpPr>
        <xdr:cNvPr id="1759" name="오른쪽 화살표 1758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910</xdr:row>
      <xdr:rowOff>38100</xdr:rowOff>
    </xdr:from>
    <xdr:to>
      <xdr:col>3</xdr:col>
      <xdr:colOff>304800</xdr:colOff>
      <xdr:row>910</xdr:row>
      <xdr:rowOff>165100</xdr:rowOff>
    </xdr:to>
    <xdr:sp macro="" textlink="">
      <xdr:nvSpPr>
        <xdr:cNvPr id="1760" name="왼쪽 화살표 1759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913</xdr:row>
      <xdr:rowOff>0</xdr:rowOff>
    </xdr:from>
    <xdr:to>
      <xdr:col>3</xdr:col>
      <xdr:colOff>304800</xdr:colOff>
      <xdr:row>915</xdr:row>
      <xdr:rowOff>6350</xdr:rowOff>
    </xdr:to>
    <xdr:sp macro="" textlink="">
      <xdr:nvSpPr>
        <xdr:cNvPr id="1761" name="오른쪽으로 구부러진 화살표 1760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915</xdr:row>
      <xdr:rowOff>0</xdr:rowOff>
    </xdr:from>
    <xdr:to>
      <xdr:col>3</xdr:col>
      <xdr:colOff>304800</xdr:colOff>
      <xdr:row>917</xdr:row>
      <xdr:rowOff>6350</xdr:rowOff>
    </xdr:to>
    <xdr:sp macro="" textlink="">
      <xdr:nvSpPr>
        <xdr:cNvPr id="1762" name="오른쪽으로 구부러진 화살표 1761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917</xdr:row>
      <xdr:rowOff>0</xdr:rowOff>
    </xdr:from>
    <xdr:to>
      <xdr:col>3</xdr:col>
      <xdr:colOff>304800</xdr:colOff>
      <xdr:row>919</xdr:row>
      <xdr:rowOff>6350</xdr:rowOff>
    </xdr:to>
    <xdr:sp macro="" textlink="">
      <xdr:nvSpPr>
        <xdr:cNvPr id="1763" name="오른쪽으로 구부러진 화살표 1762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913</xdr:row>
      <xdr:rowOff>0</xdr:rowOff>
    </xdr:from>
    <xdr:to>
      <xdr:col>3</xdr:col>
      <xdr:colOff>304800</xdr:colOff>
      <xdr:row>915</xdr:row>
      <xdr:rowOff>6350</xdr:rowOff>
    </xdr:to>
    <xdr:sp macro="" textlink="">
      <xdr:nvSpPr>
        <xdr:cNvPr id="1764" name="오른쪽으로 구부러진 화살표 1763"/>
        <xdr:cNvSpPr/>
      </xdr:nvSpPr>
      <xdr:spPr>
        <a:xfrm>
          <a:off x="2006600" y="28067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915</xdr:row>
      <xdr:rowOff>0</xdr:rowOff>
    </xdr:from>
    <xdr:to>
      <xdr:col>3</xdr:col>
      <xdr:colOff>304800</xdr:colOff>
      <xdr:row>917</xdr:row>
      <xdr:rowOff>6350</xdr:rowOff>
    </xdr:to>
    <xdr:sp macro="" textlink="">
      <xdr:nvSpPr>
        <xdr:cNvPr id="1765" name="오른쪽으로 구부러진 화살표 1764"/>
        <xdr:cNvSpPr/>
      </xdr:nvSpPr>
      <xdr:spPr>
        <a:xfrm>
          <a:off x="2006600" y="32385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917</xdr:row>
      <xdr:rowOff>0</xdr:rowOff>
    </xdr:from>
    <xdr:to>
      <xdr:col>3</xdr:col>
      <xdr:colOff>304800</xdr:colOff>
      <xdr:row>919</xdr:row>
      <xdr:rowOff>6350</xdr:rowOff>
    </xdr:to>
    <xdr:sp macro="" textlink="">
      <xdr:nvSpPr>
        <xdr:cNvPr id="1766" name="오른쪽으로 구부러진 화살표 1765"/>
        <xdr:cNvSpPr/>
      </xdr:nvSpPr>
      <xdr:spPr>
        <a:xfrm>
          <a:off x="2006600" y="3670300"/>
          <a:ext cx="304800" cy="438150"/>
        </a:xfrm>
        <a:prstGeom prst="curv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6350</xdr:colOff>
      <xdr:row>912</xdr:row>
      <xdr:rowOff>76200</xdr:rowOff>
    </xdr:from>
    <xdr:to>
      <xdr:col>4</xdr:col>
      <xdr:colOff>0</xdr:colOff>
      <xdr:row>912</xdr:row>
      <xdr:rowOff>190500</xdr:rowOff>
    </xdr:to>
    <xdr:sp macro="" textlink="">
      <xdr:nvSpPr>
        <xdr:cNvPr id="1767" name="오른쪽 화살표 1766"/>
        <xdr:cNvSpPr/>
      </xdr:nvSpPr>
      <xdr:spPr>
        <a:xfrm>
          <a:off x="2012950" y="2667000"/>
          <a:ext cx="311150" cy="114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679450</xdr:colOff>
      <xdr:row>919</xdr:row>
      <xdr:rowOff>38100</xdr:rowOff>
    </xdr:from>
    <xdr:to>
      <xdr:col>3</xdr:col>
      <xdr:colOff>304800</xdr:colOff>
      <xdr:row>919</xdr:row>
      <xdr:rowOff>165100</xdr:rowOff>
    </xdr:to>
    <xdr:sp macro="" textlink="">
      <xdr:nvSpPr>
        <xdr:cNvPr id="1768" name="왼쪽 화살표 1767"/>
        <xdr:cNvSpPr/>
      </xdr:nvSpPr>
      <xdr:spPr>
        <a:xfrm>
          <a:off x="2000250" y="4140200"/>
          <a:ext cx="311150" cy="1270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3"/>
  <sheetViews>
    <sheetView tabSelected="1" topLeftCell="A913" workbookViewId="0">
      <selection activeCell="H933" sqref="H933"/>
    </sheetView>
  </sheetViews>
  <sheetFormatPr defaultRowHeight="17" x14ac:dyDescent="0.45"/>
  <cols>
    <col min="3" max="3" width="9" customWidth="1"/>
    <col min="4" max="4" width="4.1640625" customWidth="1"/>
    <col min="5" max="5" width="17.4140625" style="1" customWidth="1"/>
    <col min="6" max="6" width="9.33203125" customWidth="1"/>
    <col min="7" max="7" width="16.83203125" style="1" customWidth="1"/>
    <col min="8" max="8" width="8.6640625" customWidth="1"/>
    <col min="9" max="9" width="16.75" style="1" customWidth="1"/>
    <col min="10" max="10" width="3.75" customWidth="1"/>
  </cols>
  <sheetData>
    <row r="1" spans="1:15" x14ac:dyDescent="0.45">
      <c r="A1" t="s">
        <v>7</v>
      </c>
      <c r="B1" t="s">
        <v>20</v>
      </c>
      <c r="C1" s="1">
        <f>AVERAGEIF(B1:B1000, "합", C1:C1000)</f>
        <v>0.22052068803824632</v>
      </c>
      <c r="F1" s="1">
        <f>AVERAGEIF(B1:B1000, "합", F1:F1000)</f>
        <v>0.30423345519047157</v>
      </c>
      <c r="H1" s="1">
        <f>AVERAGEIF(B1:B1000, "합", H1:H1000)</f>
        <v>1.1739792753668392</v>
      </c>
      <c r="K1" s="1">
        <f>AVERAGEIF(B1:B1000, "합", K1:K1000)</f>
        <v>0.28897227492986943</v>
      </c>
    </row>
    <row r="3" spans="1:15" x14ac:dyDescent="0.45">
      <c r="C3" t="s">
        <v>5</v>
      </c>
      <c r="E3" s="1" t="s">
        <v>2</v>
      </c>
      <c r="F3" t="s">
        <v>8</v>
      </c>
      <c r="G3" s="1" t="s">
        <v>0</v>
      </c>
      <c r="H3" t="s">
        <v>9</v>
      </c>
      <c r="I3" s="1" t="s">
        <v>1</v>
      </c>
      <c r="K3" t="s">
        <v>6</v>
      </c>
      <c r="M3" t="s">
        <v>18</v>
      </c>
      <c r="N3" t="s">
        <v>10</v>
      </c>
      <c r="O3" t="s">
        <v>11</v>
      </c>
    </row>
    <row r="4" spans="1:15" s="2" customFormat="1" x14ac:dyDescent="0.45">
      <c r="A4" s="2">
        <v>1</v>
      </c>
      <c r="B4" s="2">
        <v>1</v>
      </c>
      <c r="E4" s="3">
        <v>1536840285.7788</v>
      </c>
      <c r="F4" s="3">
        <f>G4-E4-0.13</f>
        <v>1.4040107727050777E-2</v>
      </c>
      <c r="G4" s="3">
        <v>1536840285.9228401</v>
      </c>
      <c r="H4" s="2">
        <f>I4-G4</f>
        <v>0.10886979103088379</v>
      </c>
      <c r="I4" s="3">
        <v>1536840286.0317099</v>
      </c>
      <c r="K4" s="2">
        <f>I5-I4</f>
        <v>7.9700946807861328E-3</v>
      </c>
      <c r="M4" s="3">
        <f>F4+H4</f>
        <v>0.12290989875793457</v>
      </c>
      <c r="N4" s="2">
        <v>169</v>
      </c>
      <c r="O4" s="2" t="s">
        <v>12</v>
      </c>
    </row>
    <row r="5" spans="1:15" s="2" customFormat="1" x14ac:dyDescent="0.45">
      <c r="B5" s="2">
        <v>2</v>
      </c>
      <c r="C5" s="2">
        <f>E6-E5</f>
        <v>1.9600152969360352E-2</v>
      </c>
      <c r="E5" s="3">
        <v>1536840286.03297</v>
      </c>
      <c r="F5" s="3">
        <f>E5-G5+0.13</f>
        <v>2.9590015411376958E-2</v>
      </c>
      <c r="G5" s="3">
        <v>1536840286.1333799</v>
      </c>
      <c r="H5" s="2">
        <f>G5-I5</f>
        <v>9.3699932098388672E-2</v>
      </c>
      <c r="I5" s="3">
        <v>1536840286.03968</v>
      </c>
      <c r="M5" s="3">
        <f>F5+H5</f>
        <v>0.12328994750976563</v>
      </c>
      <c r="N5" s="2">
        <v>122</v>
      </c>
      <c r="O5" s="2" t="s">
        <v>13</v>
      </c>
    </row>
    <row r="6" spans="1:15" s="2" customFormat="1" x14ac:dyDescent="0.45">
      <c r="B6" s="2">
        <v>3</v>
      </c>
      <c r="E6" s="3">
        <v>1536840286.0525701</v>
      </c>
      <c r="F6" s="3">
        <f>G6-E6-0.13</f>
        <v>1.0509843826293941E-2</v>
      </c>
      <c r="G6" s="3">
        <v>1536840286.1930799</v>
      </c>
      <c r="H6" s="2">
        <f>I6-G6</f>
        <v>0.11045002937316895</v>
      </c>
      <c r="I6" s="3">
        <v>1536840286.30353</v>
      </c>
      <c r="K6" s="2">
        <f>I7-I6</f>
        <v>4.7529935836791992E-2</v>
      </c>
      <c r="M6" s="3">
        <f t="shared" ref="M5:M11" si="0">F6+H6</f>
        <v>0.12095987319946289</v>
      </c>
      <c r="N6" s="2">
        <v>201</v>
      </c>
      <c r="O6" s="2" t="s">
        <v>12</v>
      </c>
    </row>
    <row r="7" spans="1:15" s="2" customFormat="1" x14ac:dyDescent="0.45">
      <c r="B7" s="2">
        <v>4</v>
      </c>
      <c r="C7" s="2">
        <f>E8-E7</f>
        <v>0.15612006187438965</v>
      </c>
      <c r="E7" s="3">
        <v>1536840286.64556</v>
      </c>
      <c r="F7" s="3">
        <f>E7-G7+0.13</f>
        <v>9.9540119171142583E-2</v>
      </c>
      <c r="G7" s="3">
        <v>1536840286.6760199</v>
      </c>
      <c r="H7" s="2">
        <f>G7-I7</f>
        <v>0.32495999336242676</v>
      </c>
      <c r="I7" s="3">
        <v>1536840286.3510599</v>
      </c>
      <c r="M7" s="3">
        <f t="shared" si="0"/>
        <v>0.42450011253356934</v>
      </c>
      <c r="N7" s="2">
        <v>616</v>
      </c>
      <c r="O7" s="2" t="s">
        <v>14</v>
      </c>
    </row>
    <row r="8" spans="1:15" s="2" customFormat="1" x14ac:dyDescent="0.45">
      <c r="B8" s="2">
        <v>5</v>
      </c>
      <c r="E8" s="3">
        <v>1536840286.8016801</v>
      </c>
      <c r="F8" s="3">
        <f>G8-E8-0.13</f>
        <v>9.6999359130859331E-3</v>
      </c>
      <c r="G8" s="3">
        <v>1536840286.94138</v>
      </c>
      <c r="H8" s="2">
        <f>I8-G8</f>
        <v>0.30581998825073242</v>
      </c>
      <c r="I8" s="3">
        <v>1536840287.2472</v>
      </c>
      <c r="K8" s="2">
        <f>I9-I8</f>
        <v>7.713007926940918E-2</v>
      </c>
      <c r="M8" s="3">
        <f t="shared" si="0"/>
        <v>0.31551992416381835</v>
      </c>
      <c r="N8" s="2">
        <v>438</v>
      </c>
      <c r="O8" s="2" t="s">
        <v>15</v>
      </c>
    </row>
    <row r="9" spans="1:15" s="2" customFormat="1" x14ac:dyDescent="0.45">
      <c r="B9" s="2">
        <v>6</v>
      </c>
      <c r="C9" s="2">
        <f>E10-E9</f>
        <v>4.0739774703979492E-2</v>
      </c>
      <c r="E9" s="3">
        <v>1536840287.3624401</v>
      </c>
      <c r="F9" s="3">
        <f>E9-G9+0.13</f>
        <v>7.5270061492919926E-2</v>
      </c>
      <c r="G9" s="3">
        <v>1536840287.41717</v>
      </c>
      <c r="H9" s="2">
        <f>G9-I9</f>
        <v>9.2839956283569336E-2</v>
      </c>
      <c r="I9" s="3">
        <v>1536840287.3243301</v>
      </c>
      <c r="M9" s="3">
        <f t="shared" si="0"/>
        <v>0.16811001777648926</v>
      </c>
      <c r="N9" s="2">
        <v>129</v>
      </c>
      <c r="O9" s="2" t="s">
        <v>16</v>
      </c>
    </row>
    <row r="10" spans="1:15" s="2" customFormat="1" x14ac:dyDescent="0.45">
      <c r="B10" s="2">
        <v>7</v>
      </c>
      <c r="E10" s="3">
        <v>1536840287.4031799</v>
      </c>
      <c r="F10" s="3">
        <f>G10-E10-0.13</f>
        <v>9.7302150726318315E-3</v>
      </c>
      <c r="G10" s="3">
        <v>1536840287.5429101</v>
      </c>
      <c r="H10" s="2">
        <f>I10-G10</f>
        <v>4.3739795684814453E-2</v>
      </c>
      <c r="I10" s="3">
        <v>1536840287.5866499</v>
      </c>
      <c r="K10" s="2">
        <f>I11-I10</f>
        <v>0.13505005836486816</v>
      </c>
      <c r="M10" s="3">
        <f t="shared" si="0"/>
        <v>5.3470010757446285E-2</v>
      </c>
      <c r="N10" s="2">
        <v>113</v>
      </c>
      <c r="O10" s="2" t="s">
        <v>17</v>
      </c>
    </row>
    <row r="11" spans="1:15" s="2" customFormat="1" x14ac:dyDescent="0.45">
      <c r="B11" s="2">
        <v>8</v>
      </c>
      <c r="E11" s="3">
        <v>1536840287.66962</v>
      </c>
      <c r="F11" s="3">
        <f>E11-G11+0.13</f>
        <v>4.260004043579102E-2</v>
      </c>
      <c r="G11" s="3">
        <v>1536840287.75702</v>
      </c>
      <c r="H11" s="2">
        <f>G11-I11</f>
        <v>3.5320043563842773E-2</v>
      </c>
      <c r="I11" s="3">
        <v>1536840287.7217</v>
      </c>
      <c r="M11" s="3">
        <f>F11+H11</f>
        <v>7.7920083999633794E-2</v>
      </c>
      <c r="N11" s="2">
        <v>104</v>
      </c>
      <c r="O11" s="2" t="s">
        <v>17</v>
      </c>
    </row>
    <row r="12" spans="1:15" s="2" customFormat="1" x14ac:dyDescent="0.45">
      <c r="B12" s="2" t="s">
        <v>3</v>
      </c>
      <c r="C12" s="2">
        <f>C5+C7+C9</f>
        <v>0.21645998954772949</v>
      </c>
      <c r="E12" s="3"/>
      <c r="F12" s="2">
        <f>SUM(F4:F11)</f>
        <v>0.29098033905029297</v>
      </c>
      <c r="G12" s="3"/>
      <c r="H12" s="2">
        <f>SUM(H4:H11)</f>
        <v>1.1156995296478271</v>
      </c>
      <c r="I12" s="3"/>
      <c r="K12" s="2">
        <f>K4+K6+K8+K10</f>
        <v>0.26768016815185547</v>
      </c>
      <c r="M12" s="2" t="s">
        <v>18</v>
      </c>
      <c r="N12" s="2" t="s">
        <v>10</v>
      </c>
      <c r="O12" s="2" t="s">
        <v>11</v>
      </c>
    </row>
    <row r="13" spans="1:15" x14ac:dyDescent="0.45">
      <c r="A13">
        <v>2</v>
      </c>
      <c r="B13">
        <v>1</v>
      </c>
      <c r="E13" s="1">
        <v>1536840293.66347</v>
      </c>
      <c r="F13" s="1">
        <f t="shared" ref="F13" si="1">G13-E13-0.13</f>
        <v>2.0279998779296871E-2</v>
      </c>
      <c r="G13" s="1">
        <v>1536840293.81375</v>
      </c>
      <c r="H13">
        <f>I13-G13</f>
        <v>0.11614990234375</v>
      </c>
      <c r="I13" s="1">
        <v>1536840293.9298999</v>
      </c>
      <c r="K13">
        <f>I14-I13</f>
        <v>8.0499649047851563E-3</v>
      </c>
      <c r="M13" s="1">
        <f>F13+H13</f>
        <v>0.13642990112304687</v>
      </c>
      <c r="N13">
        <v>169</v>
      </c>
      <c r="O13" t="s">
        <v>12</v>
      </c>
    </row>
    <row r="14" spans="1:15" x14ac:dyDescent="0.45">
      <c r="B14">
        <v>2</v>
      </c>
      <c r="C14">
        <f>E15-E14</f>
        <v>2.1499872207641602E-2</v>
      </c>
      <c r="E14" s="1">
        <v>1536840293.91838</v>
      </c>
      <c r="F14" s="1">
        <f t="shared" ref="F14" si="2">E14-G14+0.13</f>
        <v>1.0480051040649419E-2</v>
      </c>
      <c r="G14" s="1">
        <v>1536840294.0379</v>
      </c>
      <c r="H14">
        <f>G14-I14</f>
        <v>9.9950075149536133E-2</v>
      </c>
      <c r="I14" s="1">
        <v>1536840293.9379499</v>
      </c>
      <c r="M14" s="1">
        <f>F14+H14</f>
        <v>0.11043012619018555</v>
      </c>
      <c r="N14">
        <v>122</v>
      </c>
      <c r="O14" t="s">
        <v>13</v>
      </c>
    </row>
    <row r="15" spans="1:15" x14ac:dyDescent="0.45">
      <c r="B15">
        <v>3</v>
      </c>
      <c r="E15" s="1">
        <v>1536840293.9398799</v>
      </c>
      <c r="F15" s="1">
        <f t="shared" ref="F15" si="3">G15-E15-0.13</f>
        <v>1.7819995880126949E-2</v>
      </c>
      <c r="G15" s="1">
        <v>1536840294.0876999</v>
      </c>
      <c r="H15">
        <f>I15-G15</f>
        <v>0.11402010917663574</v>
      </c>
      <c r="I15" s="1">
        <v>1536840294.20172</v>
      </c>
      <c r="K15">
        <f>I16-I15</f>
        <v>4.8979997634887695E-2</v>
      </c>
      <c r="M15" s="1">
        <f>F15+H15</f>
        <v>0.13184010505676269</v>
      </c>
      <c r="N15">
        <v>201</v>
      </c>
      <c r="O15" t="s">
        <v>12</v>
      </c>
    </row>
    <row r="16" spans="1:15" x14ac:dyDescent="0.45">
      <c r="B16">
        <v>4</v>
      </c>
      <c r="C16">
        <f>E17-E16</f>
        <v>0.14652013778686523</v>
      </c>
      <c r="E16" s="1">
        <v>1536840294.5322399</v>
      </c>
      <c r="F16" s="1">
        <f t="shared" ref="F16" si="4">E16-G16+0.13</f>
        <v>8.1730012893676762E-2</v>
      </c>
      <c r="G16" s="1">
        <v>1536840294.5805099</v>
      </c>
      <c r="H16">
        <f>G16-I16</f>
        <v>0.32980990409851074</v>
      </c>
      <c r="I16" s="1">
        <v>1536840294.2507</v>
      </c>
      <c r="M16" s="1">
        <f t="shared" ref="M16:M19" si="5">F16+H16</f>
        <v>0.4115399169921875</v>
      </c>
      <c r="N16">
        <v>616</v>
      </c>
      <c r="O16" t="s">
        <v>14</v>
      </c>
    </row>
    <row r="17" spans="1:15" x14ac:dyDescent="0.45">
      <c r="B17">
        <v>5</v>
      </c>
      <c r="E17" s="1">
        <v>1536840294.6787601</v>
      </c>
      <c r="F17" s="1">
        <f t="shared" ref="F17" si="6">G17-E17-0.13</f>
        <v>1.61799144744873E-2</v>
      </c>
      <c r="G17" s="1">
        <v>1536840294.82494</v>
      </c>
      <c r="H17">
        <f>I17-G17</f>
        <v>0.25297999382019043</v>
      </c>
      <c r="I17" s="1">
        <v>1536840295.07792</v>
      </c>
      <c r="K17">
        <f>I18-I17</f>
        <v>9.7300052642822266E-2</v>
      </c>
      <c r="M17" s="1">
        <f t="shared" si="5"/>
        <v>0.26915990829467773</v>
      </c>
      <c r="N17">
        <v>438</v>
      </c>
      <c r="O17" t="s">
        <v>15</v>
      </c>
    </row>
    <row r="18" spans="1:15" x14ac:dyDescent="0.45">
      <c r="B18">
        <v>6</v>
      </c>
      <c r="C18">
        <f>E19-E18</f>
        <v>4.5609951019287109E-2</v>
      </c>
      <c r="E18" s="1">
        <v>1536840295.14498</v>
      </c>
      <c r="F18" s="1">
        <f t="shared" ref="F18" si="7">E18-G18+0.13</f>
        <v>2.0969991683959965E-2</v>
      </c>
      <c r="G18" s="1">
        <v>1536840295.25401</v>
      </c>
      <c r="H18">
        <f>G18-I18</f>
        <v>7.8789949417114258E-2</v>
      </c>
      <c r="I18" s="1">
        <v>1536840295.17522</v>
      </c>
      <c r="M18" s="1">
        <f t="shared" si="5"/>
        <v>9.9759941101074223E-2</v>
      </c>
      <c r="N18">
        <v>129</v>
      </c>
      <c r="O18" t="s">
        <v>16</v>
      </c>
    </row>
    <row r="19" spans="1:15" x14ac:dyDescent="0.45">
      <c r="B19">
        <v>7</v>
      </c>
      <c r="E19" s="1">
        <v>1536840295.1905899</v>
      </c>
      <c r="F19" s="1">
        <f t="shared" ref="F19" si="8">G19-E19-0.13</f>
        <v>2.0570154190063472E-2</v>
      </c>
      <c r="G19" s="1">
        <v>1536840295.3411601</v>
      </c>
      <c r="H19">
        <f>I19-G19</f>
        <v>7.6159954071044922E-2</v>
      </c>
      <c r="I19" s="1">
        <v>1536840295.41732</v>
      </c>
      <c r="K19">
        <f>I20-I19</f>
        <v>0.13592004776000977</v>
      </c>
      <c r="M19" s="1">
        <f t="shared" si="5"/>
        <v>9.6730108261108394E-2</v>
      </c>
      <c r="N19">
        <v>113</v>
      </c>
      <c r="O19" t="s">
        <v>17</v>
      </c>
    </row>
    <row r="20" spans="1:15" x14ac:dyDescent="0.45">
      <c r="B20">
        <v>8</v>
      </c>
      <c r="E20" s="1">
        <v>1536840295.55407</v>
      </c>
      <c r="F20" s="1">
        <f t="shared" ref="F20" si="9">E20-G20+0.13</f>
        <v>9.0129976272583012E-2</v>
      </c>
      <c r="G20" s="1">
        <v>1536840295.59394</v>
      </c>
      <c r="H20">
        <f>G20-I20</f>
        <v>4.0699958801269531E-2</v>
      </c>
      <c r="I20" s="1">
        <v>1536840295.5532401</v>
      </c>
      <c r="M20" s="1">
        <f>F20+H20</f>
        <v>0.13082993507385254</v>
      </c>
      <c r="N20">
        <v>104</v>
      </c>
      <c r="O20" t="s">
        <v>17</v>
      </c>
    </row>
    <row r="21" spans="1:15" x14ac:dyDescent="0.45">
      <c r="B21" t="s">
        <v>4</v>
      </c>
      <c r="C21">
        <f>C14+C16+C18</f>
        <v>0.21362996101379395</v>
      </c>
      <c r="F21">
        <f t="shared" ref="F21" si="10">SUM(F13:F20)</f>
        <v>0.27816009521484375</v>
      </c>
      <c r="H21">
        <f>SUM(H13:H20)</f>
        <v>1.1085598468780518</v>
      </c>
      <c r="K21">
        <f>K13+K15+K17+K19</f>
        <v>0.29025006294250488</v>
      </c>
      <c r="M21" t="s">
        <v>18</v>
      </c>
      <c r="N21" t="s">
        <v>10</v>
      </c>
      <c r="O21" t="s">
        <v>11</v>
      </c>
    </row>
    <row r="22" spans="1:15" x14ac:dyDescent="0.45">
      <c r="A22">
        <v>3</v>
      </c>
      <c r="B22">
        <v>1</v>
      </c>
      <c r="E22" s="1">
        <v>1536840297.8231001</v>
      </c>
      <c r="F22" s="1">
        <f t="shared" ref="F22" si="11">G22-E22-0.13</f>
        <v>2.5999898910522456E-2</v>
      </c>
      <c r="G22" s="1">
        <v>1536840297.9791</v>
      </c>
      <c r="H22">
        <f>I22-G22</f>
        <v>0.13615989685058594</v>
      </c>
      <c r="I22" s="1">
        <v>1536840298.1152599</v>
      </c>
      <c r="K22">
        <f>I23-I22</f>
        <v>6.2601566314697266E-3</v>
      </c>
      <c r="M22" s="1">
        <f t="shared" ref="M22:M83" si="12">F22+H22</f>
        <v>0.16215979576110839</v>
      </c>
      <c r="N22" s="2">
        <v>169</v>
      </c>
      <c r="O22" s="2" t="s">
        <v>12</v>
      </c>
    </row>
    <row r="23" spans="1:15" x14ac:dyDescent="0.45">
      <c r="B23">
        <v>2</v>
      </c>
      <c r="C23">
        <f>E24-E23</f>
        <v>1.7549991607666016E-2</v>
      </c>
      <c r="E23" s="1">
        <v>1536840298.1145501</v>
      </c>
      <c r="F23" s="1">
        <f t="shared" ref="F23" si="13">E23-G23+0.13</f>
        <v>1.8130187988281254E-2</v>
      </c>
      <c r="G23" s="1">
        <v>1536840298.2264199</v>
      </c>
      <c r="H23">
        <f>G23-I23</f>
        <v>0.10489988327026367</v>
      </c>
      <c r="I23" s="1">
        <v>1536840298.12152</v>
      </c>
      <c r="M23" s="1">
        <f t="shared" si="12"/>
        <v>0.12303007125854493</v>
      </c>
      <c r="N23" s="2">
        <v>122</v>
      </c>
      <c r="O23" s="2" t="s">
        <v>13</v>
      </c>
    </row>
    <row r="24" spans="1:15" x14ac:dyDescent="0.45">
      <c r="B24">
        <v>3</v>
      </c>
      <c r="E24" s="1">
        <v>1536840298.1321001</v>
      </c>
      <c r="F24" s="1">
        <f t="shared" ref="F24" si="14">G24-E24-0.13</f>
        <v>1.8519992828369136E-2</v>
      </c>
      <c r="G24" s="1">
        <v>1536840298.2806201</v>
      </c>
      <c r="H24">
        <f>I24-G24</f>
        <v>0.1064598560333252</v>
      </c>
      <c r="I24" s="1">
        <v>1536840298.38708</v>
      </c>
      <c r="K24">
        <f>I25-I24</f>
        <v>4.6760082244873047E-2</v>
      </c>
      <c r="M24" s="1">
        <f t="shared" si="12"/>
        <v>0.12497984886169433</v>
      </c>
      <c r="N24" s="2">
        <v>201</v>
      </c>
      <c r="O24" s="2" t="s">
        <v>12</v>
      </c>
    </row>
    <row r="25" spans="1:15" x14ac:dyDescent="0.45">
      <c r="B25">
        <v>4</v>
      </c>
      <c r="C25">
        <f>E26-E25</f>
        <v>0.16443991661071777</v>
      </c>
      <c r="E25" s="1">
        <v>1536840298.7316401</v>
      </c>
      <c r="F25" s="1">
        <f t="shared" ref="F25" si="15">E25-G25+0.13</f>
        <v>9.2720155715942387E-2</v>
      </c>
      <c r="G25" s="1">
        <v>1536840298.7689199</v>
      </c>
      <c r="H25">
        <f>G25-I25</f>
        <v>0.33507990837097168</v>
      </c>
      <c r="I25" s="1">
        <v>1536840298.43384</v>
      </c>
      <c r="M25" s="1">
        <f t="shared" si="12"/>
        <v>0.42780006408691407</v>
      </c>
      <c r="N25" s="2">
        <v>616</v>
      </c>
      <c r="O25" s="2" t="s">
        <v>14</v>
      </c>
    </row>
    <row r="26" spans="1:15" x14ac:dyDescent="0.45">
      <c r="B26">
        <v>5</v>
      </c>
      <c r="E26" s="1">
        <v>1536840298.89608</v>
      </c>
      <c r="F26" s="1">
        <f t="shared" ref="F26" si="16">G26-E26-0.13</f>
        <v>1.9209976196289058E-2</v>
      </c>
      <c r="G26" s="1">
        <v>1536840299.04529</v>
      </c>
      <c r="H26">
        <f>I26-G26</f>
        <v>0.28550004959106445</v>
      </c>
      <c r="I26" s="1">
        <v>1536840299.33079</v>
      </c>
      <c r="K26">
        <f>I27-I26</f>
        <v>0.1069798469543457</v>
      </c>
      <c r="M26" s="1">
        <f t="shared" si="12"/>
        <v>0.30471002578735351</v>
      </c>
      <c r="N26" s="2">
        <v>438</v>
      </c>
      <c r="O26" s="2" t="s">
        <v>15</v>
      </c>
    </row>
    <row r="27" spans="1:15" x14ac:dyDescent="0.45">
      <c r="B27">
        <v>6</v>
      </c>
      <c r="C27">
        <f>E28-E27</f>
        <v>4.5989990234375E-2</v>
      </c>
      <c r="E27" s="1">
        <v>1536840299.4477701</v>
      </c>
      <c r="F27" s="1">
        <f t="shared" ref="F27" si="17">E27-G27+0.13</f>
        <v>6.7820196151733403E-2</v>
      </c>
      <c r="G27" s="1">
        <v>1536840299.5099499</v>
      </c>
      <c r="H27">
        <f>G27-I27</f>
        <v>7.2180032730102539E-2</v>
      </c>
      <c r="I27" s="1">
        <v>1536840299.4377699</v>
      </c>
      <c r="M27" s="1">
        <f t="shared" si="12"/>
        <v>0.14000022888183594</v>
      </c>
      <c r="N27" s="2">
        <v>129</v>
      </c>
      <c r="O27" s="2" t="s">
        <v>16</v>
      </c>
    </row>
    <row r="28" spans="1:15" x14ac:dyDescent="0.45">
      <c r="B28">
        <v>7</v>
      </c>
      <c r="E28" s="1">
        <v>1536840299.4937601</v>
      </c>
      <c r="F28" s="1">
        <f t="shared" ref="F28" si="18">G28-E28-0.13</f>
        <v>1.9639844894409175E-2</v>
      </c>
      <c r="G28" s="1">
        <v>1536840299.6434</v>
      </c>
      <c r="H28">
        <f>I28-G28</f>
        <v>9.4340085983276367E-2</v>
      </c>
      <c r="I28" s="1">
        <v>1536840299.73774</v>
      </c>
      <c r="K28">
        <f>I29-I28</f>
        <v>0.18648004531860352</v>
      </c>
      <c r="M28" s="1">
        <f t="shared" si="12"/>
        <v>0.11397993087768554</v>
      </c>
      <c r="N28" s="2">
        <v>113</v>
      </c>
      <c r="O28" s="2" t="s">
        <v>17</v>
      </c>
    </row>
    <row r="29" spans="1:15" x14ac:dyDescent="0.45">
      <c r="B29">
        <v>8</v>
      </c>
      <c r="E29" s="1">
        <v>1536840299.8562901</v>
      </c>
      <c r="F29" s="1">
        <f t="shared" ref="F29" si="19">E29-G29+0.13</f>
        <v>6.8870191574096684E-2</v>
      </c>
      <c r="G29" s="1">
        <v>1536840299.9174199</v>
      </c>
      <c r="H29">
        <f>G29-I29</f>
        <v>-6.8001747131347656E-3</v>
      </c>
      <c r="I29" s="1">
        <v>1536840299.9242201</v>
      </c>
      <c r="M29" s="1">
        <f t="shared" si="12"/>
        <v>6.2070016860961919E-2</v>
      </c>
      <c r="N29" s="2">
        <v>104</v>
      </c>
      <c r="O29" s="2" t="s">
        <v>17</v>
      </c>
    </row>
    <row r="30" spans="1:15" x14ac:dyDescent="0.45">
      <c r="B30" t="s">
        <v>3</v>
      </c>
      <c r="C30">
        <f>C23+C25+C27</f>
        <v>0.22797989845275879</v>
      </c>
      <c r="F30">
        <f t="shared" ref="F30" si="20">SUM(F22:F29)</f>
        <v>0.33091044425964355</v>
      </c>
      <c r="H30">
        <f>SUM(H22:H29)</f>
        <v>1.1278195381164551</v>
      </c>
      <c r="K30">
        <f>K22+K24+K26+K28</f>
        <v>0.34648013114929199</v>
      </c>
      <c r="M30" t="s">
        <v>18</v>
      </c>
      <c r="N30" s="2" t="s">
        <v>10</v>
      </c>
      <c r="O30" s="2" t="s">
        <v>11</v>
      </c>
    </row>
    <row r="31" spans="1:15" x14ac:dyDescent="0.45">
      <c r="A31">
        <v>4</v>
      </c>
      <c r="B31">
        <v>1</v>
      </c>
      <c r="E31" s="1">
        <v>1536840301.8720801</v>
      </c>
      <c r="F31" s="1">
        <f t="shared" ref="F31" si="21">G31-E31-0.13</f>
        <v>2.7459974288940425E-2</v>
      </c>
      <c r="G31" s="1">
        <v>1536840302.0295401</v>
      </c>
      <c r="H31">
        <f>I31-G31</f>
        <v>0.13607001304626465</v>
      </c>
      <c r="I31" s="1">
        <v>1536840302.1656101</v>
      </c>
      <c r="K31">
        <f>I32-I31</f>
        <v>6.2499046325683594E-3</v>
      </c>
      <c r="M31" s="1">
        <f t="shared" ref="M31:M33" si="22">F31+H31</f>
        <v>0.16352998733520507</v>
      </c>
      <c r="N31">
        <v>169</v>
      </c>
      <c r="O31" t="s">
        <v>12</v>
      </c>
    </row>
    <row r="32" spans="1:15" x14ac:dyDescent="0.45">
      <c r="B32">
        <v>2</v>
      </c>
      <c r="C32">
        <f>E33-E32</f>
        <v>2.9690027236938477E-2</v>
      </c>
      <c r="E32" s="1">
        <v>1536840302.21068</v>
      </c>
      <c r="F32" s="1">
        <f t="shared" ref="F32" si="23">E32-G32+0.13</f>
        <v>6.0520057678222661E-2</v>
      </c>
      <c r="G32" s="1">
        <v>1536840302.28016</v>
      </c>
      <c r="H32">
        <f>G32-I32</f>
        <v>0.10829997062683105</v>
      </c>
      <c r="I32" s="1">
        <v>1536840302.17186</v>
      </c>
      <c r="M32" s="1">
        <f t="shared" si="22"/>
        <v>0.16882002830505372</v>
      </c>
      <c r="N32">
        <v>122</v>
      </c>
      <c r="O32" t="s">
        <v>13</v>
      </c>
    </row>
    <row r="33" spans="1:15" x14ac:dyDescent="0.45">
      <c r="B33">
        <v>3</v>
      </c>
      <c r="E33" s="1">
        <v>1536840302.24037</v>
      </c>
      <c r="F33" s="1">
        <f t="shared" ref="F33" si="24">G33-E33-0.13</f>
        <v>2.2149915695190425E-2</v>
      </c>
      <c r="G33" s="1">
        <v>1536840302.39252</v>
      </c>
      <c r="H33">
        <f>I33-G33</f>
        <v>0.1117701530456543</v>
      </c>
      <c r="I33" s="1">
        <v>1536840302.5042901</v>
      </c>
      <c r="K33">
        <f>I34-I33</f>
        <v>4.9759864807128906E-2</v>
      </c>
      <c r="M33" s="1">
        <f t="shared" si="22"/>
        <v>0.13392006874084472</v>
      </c>
      <c r="N33">
        <v>201</v>
      </c>
      <c r="O33" t="s">
        <v>12</v>
      </c>
    </row>
    <row r="34" spans="1:15" x14ac:dyDescent="0.45">
      <c r="B34">
        <v>4</v>
      </c>
      <c r="C34">
        <f>E35-E34</f>
        <v>0.1583399772644043</v>
      </c>
      <c r="E34" s="1">
        <v>1536840302.82636</v>
      </c>
      <c r="F34" s="1">
        <f t="shared" ref="F34" si="25">E34-G34+0.13</f>
        <v>6.6739921569824223E-2</v>
      </c>
      <c r="G34" s="1">
        <v>1536840302.8896201</v>
      </c>
      <c r="H34">
        <f>G34-I34</f>
        <v>0.33557009696960449</v>
      </c>
      <c r="I34" s="1">
        <v>1536840302.55405</v>
      </c>
      <c r="M34" s="1">
        <f t="shared" si="12"/>
        <v>0.40231001853942872</v>
      </c>
      <c r="N34">
        <v>616</v>
      </c>
      <c r="O34" t="s">
        <v>14</v>
      </c>
    </row>
    <row r="35" spans="1:15" x14ac:dyDescent="0.45">
      <c r="B35">
        <v>5</v>
      </c>
      <c r="E35" s="1">
        <v>1536840302.9847</v>
      </c>
      <c r="F35" s="1">
        <f t="shared" ref="F35" si="26">G35-E35-0.13</f>
        <v>2.3429985046386714E-2</v>
      </c>
      <c r="G35" s="1">
        <v>1536840303.1381299</v>
      </c>
      <c r="H35">
        <f>I35-G35</f>
        <v>0.24300003051757813</v>
      </c>
      <c r="I35" s="1">
        <v>1536840303.38113</v>
      </c>
      <c r="K35">
        <f>I36-I35</f>
        <v>9.4759941101074219E-2</v>
      </c>
      <c r="M35" s="1">
        <f t="shared" si="12"/>
        <v>0.26643001556396484</v>
      </c>
      <c r="N35">
        <v>438</v>
      </c>
      <c r="O35" t="s">
        <v>15</v>
      </c>
    </row>
    <row r="36" spans="1:15" x14ac:dyDescent="0.45">
      <c r="B36">
        <v>6</v>
      </c>
      <c r="C36">
        <f>E37-E36</f>
        <v>4.3969869613647461E-2</v>
      </c>
      <c r="E36" s="1">
        <v>1536840303.44067</v>
      </c>
      <c r="F36" s="1">
        <f t="shared" ref="F36" si="27">E36-G36+0.13</f>
        <v>7.5999546051025435E-3</v>
      </c>
      <c r="G36" s="1">
        <v>1536840303.5630701</v>
      </c>
      <c r="H36">
        <f>G36-I36</f>
        <v>8.7180137634277344E-2</v>
      </c>
      <c r="I36" s="1">
        <v>1536840303.4758899</v>
      </c>
      <c r="M36" s="1">
        <f t="shared" si="12"/>
        <v>9.4780092239379887E-2</v>
      </c>
      <c r="N36">
        <v>129</v>
      </c>
      <c r="O36" t="s">
        <v>16</v>
      </c>
    </row>
    <row r="37" spans="1:15" x14ac:dyDescent="0.45">
      <c r="B37">
        <v>7</v>
      </c>
      <c r="E37" s="1">
        <v>1536840303.4846399</v>
      </c>
      <c r="F37" s="1">
        <f t="shared" ref="F37" si="28">G37-E37-0.13</f>
        <v>2.2640104293823238E-2</v>
      </c>
      <c r="G37" s="1">
        <v>1536840303.63728</v>
      </c>
      <c r="H37">
        <f>I37-G37</f>
        <v>8.3270072937011719E-2</v>
      </c>
      <c r="I37" s="1">
        <v>1536840303.7205501</v>
      </c>
      <c r="K37">
        <f>I38-I37</f>
        <v>0.13540005683898926</v>
      </c>
      <c r="M37" s="1">
        <f t="shared" si="12"/>
        <v>0.10591017723083496</v>
      </c>
      <c r="N37">
        <v>113</v>
      </c>
      <c r="O37" t="s">
        <v>17</v>
      </c>
    </row>
    <row r="38" spans="1:15" x14ac:dyDescent="0.45">
      <c r="B38">
        <v>8</v>
      </c>
      <c r="E38" s="1">
        <v>1536840303.84815</v>
      </c>
      <c r="F38" s="1">
        <f t="shared" ref="F38" si="29">E38-G38+0.13</f>
        <v>7.5179939270019536E-2</v>
      </c>
      <c r="G38" s="1">
        <v>1536840303.9029701</v>
      </c>
      <c r="H38">
        <f>G38-I38</f>
        <v>4.701995849609375E-2</v>
      </c>
      <c r="I38" s="1">
        <v>1536840303.8559501</v>
      </c>
      <c r="M38" s="1">
        <f t="shared" si="12"/>
        <v>0.12219989776611329</v>
      </c>
      <c r="N38">
        <v>104</v>
      </c>
      <c r="O38" t="s">
        <v>17</v>
      </c>
    </row>
    <row r="39" spans="1:15" x14ac:dyDescent="0.45">
      <c r="B39" t="s">
        <v>3</v>
      </c>
      <c r="C39">
        <f>C32+C34+C36</f>
        <v>0.23199987411499023</v>
      </c>
      <c r="F39">
        <f t="shared" ref="F39" si="30">SUM(F31:F38)</f>
        <v>0.30571985244750977</v>
      </c>
      <c r="H39">
        <f>SUM(H31:H38)</f>
        <v>1.1521804332733154</v>
      </c>
      <c r="K39">
        <f>K31+K33+K35+K37</f>
        <v>0.28616976737976074</v>
      </c>
      <c r="M39" t="s">
        <v>18</v>
      </c>
      <c r="N39" t="s">
        <v>10</v>
      </c>
      <c r="O39" t="s">
        <v>11</v>
      </c>
    </row>
    <row r="40" spans="1:15" x14ac:dyDescent="0.45">
      <c r="A40">
        <v>5</v>
      </c>
      <c r="B40">
        <v>1</v>
      </c>
      <c r="E40" s="1">
        <v>1536840306.05773</v>
      </c>
      <c r="F40" s="1">
        <f t="shared" ref="F40" si="31">G40-E40-0.13</f>
        <v>3.06299877166748E-2</v>
      </c>
      <c r="G40" s="1">
        <v>1536840306.2183599</v>
      </c>
      <c r="H40">
        <f>I40-G40</f>
        <v>0.13260006904602051</v>
      </c>
      <c r="I40" s="1">
        <v>1536840306.35096</v>
      </c>
      <c r="K40">
        <f>I41-I40</f>
        <v>6.3900947570800781E-3</v>
      </c>
      <c r="M40" s="1">
        <f t="shared" ref="M40:M42" si="32">F40+H40</f>
        <v>0.16323005676269531</v>
      </c>
      <c r="N40" s="2">
        <v>169</v>
      </c>
      <c r="O40" s="2" t="s">
        <v>12</v>
      </c>
    </row>
    <row r="41" spans="1:15" x14ac:dyDescent="0.45">
      <c r="B41">
        <v>2</v>
      </c>
      <c r="C41">
        <f>E42-E41</f>
        <v>3.0920028686523438E-2</v>
      </c>
      <c r="E41" s="1">
        <v>1536840306.4112599</v>
      </c>
      <c r="F41" s="1">
        <f t="shared" ref="F41" si="33">E41-G41+0.13</f>
        <v>7.3619966506958012E-2</v>
      </c>
      <c r="G41" s="1">
        <v>1536840306.4676399</v>
      </c>
      <c r="H41">
        <f>G41-I41</f>
        <v>0.1102898120880127</v>
      </c>
      <c r="I41" s="1">
        <v>1536840306.3573501</v>
      </c>
      <c r="M41" s="1">
        <f t="shared" si="32"/>
        <v>0.18390977859497071</v>
      </c>
      <c r="N41" s="2">
        <v>122</v>
      </c>
      <c r="O41" s="2" t="s">
        <v>13</v>
      </c>
    </row>
    <row r="42" spans="1:15" x14ac:dyDescent="0.45">
      <c r="B42">
        <v>3</v>
      </c>
      <c r="E42" s="1">
        <v>1536840306.4421799</v>
      </c>
      <c r="F42" s="1">
        <f t="shared" ref="F42" si="34">G42-E42-0.13</f>
        <v>2.5310153961181636E-2</v>
      </c>
      <c r="G42" s="1">
        <v>1536840306.5974901</v>
      </c>
      <c r="H42">
        <f>I42-G42</f>
        <v>9.2180013656616211E-2</v>
      </c>
      <c r="I42" s="1">
        <v>1536840306.6896701</v>
      </c>
      <c r="K42">
        <f>I43-I42</f>
        <v>4.8009872436523438E-2</v>
      </c>
      <c r="M42" s="1">
        <f t="shared" si="32"/>
        <v>0.11749016761779785</v>
      </c>
      <c r="N42" s="2">
        <v>201</v>
      </c>
      <c r="O42" s="2" t="s">
        <v>12</v>
      </c>
    </row>
    <row r="43" spans="1:15" x14ac:dyDescent="0.45">
      <c r="B43">
        <v>4</v>
      </c>
      <c r="C43">
        <f>E44-E43</f>
        <v>0.25525999069213867</v>
      </c>
      <c r="E43" s="1">
        <v>1536840307.0239</v>
      </c>
      <c r="F43" s="1">
        <f t="shared" ref="F43" si="35">E43-G43+0.13</f>
        <v>1.0670070648193364E-2</v>
      </c>
      <c r="G43" s="1">
        <v>1536840307.14323</v>
      </c>
      <c r="H43">
        <f>G43-I43</f>
        <v>0.40555000305175781</v>
      </c>
      <c r="I43" s="1">
        <v>1536840306.73768</v>
      </c>
      <c r="M43" s="1">
        <f t="shared" si="12"/>
        <v>0.41622007369995118</v>
      </c>
      <c r="N43" s="2">
        <v>616</v>
      </c>
      <c r="O43" s="2" t="s">
        <v>14</v>
      </c>
    </row>
    <row r="44" spans="1:15" x14ac:dyDescent="0.45">
      <c r="B44">
        <v>5</v>
      </c>
      <c r="E44" s="1">
        <v>1536840307.27916</v>
      </c>
      <c r="F44" s="1">
        <f t="shared" ref="F44" si="36">G44-E44-0.13</f>
        <v>3.1589860916137691E-2</v>
      </c>
      <c r="G44" s="1">
        <v>1536840307.4407499</v>
      </c>
      <c r="H44">
        <f>I44-G44</f>
        <v>0.26073002815246582</v>
      </c>
      <c r="I44" s="1">
        <v>1536840307.7014799</v>
      </c>
      <c r="K44">
        <f>I45-I44</f>
        <v>9.6120119094848633E-2</v>
      </c>
      <c r="M44" s="1">
        <f t="shared" si="12"/>
        <v>0.29231988906860351</v>
      </c>
      <c r="N44" s="2">
        <v>438</v>
      </c>
      <c r="O44" s="2" t="s">
        <v>15</v>
      </c>
    </row>
    <row r="45" spans="1:15" x14ac:dyDescent="0.45">
      <c r="B45">
        <v>6</v>
      </c>
      <c r="C45">
        <f>E46-E45</f>
        <v>3.9210081100463867E-2</v>
      </c>
      <c r="E45" s="1">
        <v>1536840307.84249</v>
      </c>
      <c r="F45" s="1">
        <f t="shared" ref="F45" si="37">E45-G45+0.13</f>
        <v>8.6239938735961919E-2</v>
      </c>
      <c r="G45" s="1">
        <v>1536840307.88625</v>
      </c>
      <c r="H45">
        <f>G45-I45</f>
        <v>8.8649988174438477E-2</v>
      </c>
      <c r="I45" s="1">
        <v>1536840307.7976</v>
      </c>
      <c r="M45" s="1">
        <f t="shared" si="12"/>
        <v>0.1748899269104004</v>
      </c>
      <c r="N45" s="2">
        <v>129</v>
      </c>
      <c r="O45" s="2" t="s">
        <v>16</v>
      </c>
    </row>
    <row r="46" spans="1:15" x14ac:dyDescent="0.45">
      <c r="B46">
        <v>7</v>
      </c>
      <c r="E46" s="1">
        <v>1536840307.8817</v>
      </c>
      <c r="F46" s="1">
        <f t="shared" ref="F46" si="38">G46-E46-0.13</f>
        <v>2.6270027160644527E-2</v>
      </c>
      <c r="G46" s="1">
        <v>1536840308.0379701</v>
      </c>
      <c r="H46">
        <f>I46-G46</f>
        <v>7.04498291015625E-2</v>
      </c>
      <c r="I46" s="1">
        <v>1536840308.1084199</v>
      </c>
      <c r="K46">
        <f>I47-I46</f>
        <v>0.13577008247375488</v>
      </c>
      <c r="M46" s="1">
        <f t="shared" si="12"/>
        <v>9.6719856262207027E-2</v>
      </c>
      <c r="N46" s="2">
        <v>113</v>
      </c>
      <c r="O46" s="2" t="s">
        <v>17</v>
      </c>
    </row>
    <row r="47" spans="1:15" x14ac:dyDescent="0.45">
      <c r="B47">
        <v>8</v>
      </c>
      <c r="E47" s="1">
        <v>1536840308.2539699</v>
      </c>
      <c r="F47" s="1">
        <f t="shared" ref="F47" si="39">E47-G47+0.13</f>
        <v>9.0269927978515629E-2</v>
      </c>
      <c r="G47" s="1">
        <v>1536840308.2937</v>
      </c>
      <c r="H47">
        <f>G47-I47</f>
        <v>4.9510002136230469E-2</v>
      </c>
      <c r="I47" s="1">
        <v>1536840308.24419</v>
      </c>
      <c r="M47" s="1">
        <f t="shared" si="12"/>
        <v>0.1397799301147461</v>
      </c>
      <c r="N47" s="2">
        <v>104</v>
      </c>
      <c r="O47" s="2" t="s">
        <v>17</v>
      </c>
    </row>
    <row r="48" spans="1:15" x14ac:dyDescent="0.45">
      <c r="B48" t="s">
        <v>3</v>
      </c>
      <c r="C48">
        <f>C41+C43+C45</f>
        <v>0.32539010047912598</v>
      </c>
      <c r="F48">
        <f t="shared" ref="F48" si="40">SUM(F40:F47)</f>
        <v>0.37459993362426758</v>
      </c>
      <c r="H48">
        <f>SUM(H40:H47)</f>
        <v>1.2099597454071045</v>
      </c>
      <c r="K48">
        <f>K40+K42+K44+K46</f>
        <v>0.28629016876220703</v>
      </c>
      <c r="M48" t="s">
        <v>18</v>
      </c>
      <c r="N48" s="2" t="s">
        <v>10</v>
      </c>
      <c r="O48" s="2" t="s">
        <v>11</v>
      </c>
    </row>
    <row r="49" spans="1:15" x14ac:dyDescent="0.45">
      <c r="A49">
        <v>6</v>
      </c>
      <c r="B49">
        <v>1</v>
      </c>
      <c r="E49" s="1">
        <v>1536840309.8915</v>
      </c>
      <c r="F49" s="1">
        <f t="shared" ref="F49" si="41">G49-E49-0.13</f>
        <v>3.229009628295898E-2</v>
      </c>
      <c r="G49" s="1">
        <v>1536840310.0537901</v>
      </c>
      <c r="H49">
        <f>I49-G49</f>
        <v>0.1450200080871582</v>
      </c>
      <c r="I49" s="1">
        <v>1536840310.1988101</v>
      </c>
      <c r="K49">
        <f>I50-I49</f>
        <v>6.1697959899902344E-3</v>
      </c>
      <c r="M49" s="1">
        <f t="shared" ref="M49:M51" si="42">F49+H49</f>
        <v>0.17731010437011718</v>
      </c>
      <c r="N49">
        <v>169</v>
      </c>
      <c r="O49" t="s">
        <v>12</v>
      </c>
    </row>
    <row r="50" spans="1:15" x14ac:dyDescent="0.45">
      <c r="B50">
        <v>2</v>
      </c>
      <c r="C50">
        <f>E51-E50</f>
        <v>1.0069847106933594E-2</v>
      </c>
      <c r="E50" s="1">
        <v>1536840310.1979201</v>
      </c>
      <c r="F50" s="1">
        <f t="shared" ref="F50" si="43">E50-G50+0.13</f>
        <v>1.0050182342529301E-2</v>
      </c>
      <c r="G50" s="1">
        <v>1536840310.3178699</v>
      </c>
      <c r="H50">
        <f>G50-I50</f>
        <v>0.11289000511169434</v>
      </c>
      <c r="I50" s="1">
        <v>1536840310.2049799</v>
      </c>
      <c r="M50" s="1">
        <f t="shared" si="42"/>
        <v>0.12294018745422364</v>
      </c>
      <c r="N50">
        <v>122</v>
      </c>
      <c r="O50" t="s">
        <v>13</v>
      </c>
    </row>
    <row r="51" spans="1:15" x14ac:dyDescent="0.45">
      <c r="B51">
        <v>3</v>
      </c>
      <c r="E51" s="1">
        <v>1536840310.2079899</v>
      </c>
      <c r="F51" s="1">
        <f t="shared" ref="F51" si="44">G51-E51-0.13</f>
        <v>2.761017799377441E-2</v>
      </c>
      <c r="G51" s="1">
        <v>1536840310.3656001</v>
      </c>
      <c r="H51">
        <f>I51-G51</f>
        <v>0.10502982139587402</v>
      </c>
      <c r="I51" s="1">
        <v>1536840310.4706299</v>
      </c>
      <c r="K51">
        <f>I52-I51</f>
        <v>4.6360015869140625E-2</v>
      </c>
      <c r="M51" s="1">
        <f t="shared" si="42"/>
        <v>0.13263999938964843</v>
      </c>
      <c r="N51">
        <v>201</v>
      </c>
      <c r="O51" t="s">
        <v>12</v>
      </c>
    </row>
    <row r="52" spans="1:15" x14ac:dyDescent="0.45">
      <c r="B52">
        <v>4</v>
      </c>
      <c r="C52">
        <f>E53-E52</f>
        <v>0.1497499942779541</v>
      </c>
      <c r="E52" s="1">
        <v>1536840310.8132901</v>
      </c>
      <c r="F52" s="1">
        <f t="shared" ref="F52" si="45">E52-G52+0.13</f>
        <v>1.6020183563232426E-2</v>
      </c>
      <c r="G52" s="1">
        <v>1536840310.9272699</v>
      </c>
      <c r="H52">
        <f>G52-I52</f>
        <v>0.41027998924255371</v>
      </c>
      <c r="I52" s="1">
        <v>1536840310.5169899</v>
      </c>
      <c r="M52" s="1">
        <f t="shared" si="12"/>
        <v>0.42630017280578614</v>
      </c>
      <c r="N52">
        <v>616</v>
      </c>
      <c r="O52" t="s">
        <v>14</v>
      </c>
    </row>
    <row r="53" spans="1:15" x14ac:dyDescent="0.45">
      <c r="B53">
        <v>5</v>
      </c>
      <c r="E53" s="1">
        <v>1536840310.9630401</v>
      </c>
      <c r="F53" s="1">
        <f t="shared" ref="F53" si="46">G53-E53-0.13</f>
        <v>2.8109903335571285E-2</v>
      </c>
      <c r="G53" s="1">
        <v>1536840311.12115</v>
      </c>
      <c r="H53">
        <f>I53-G53</f>
        <v>0.22635006904602051</v>
      </c>
      <c r="I53" s="1">
        <v>1536840311.3475001</v>
      </c>
      <c r="K53">
        <f>I54-I53</f>
        <v>9.4349861145019531E-2</v>
      </c>
      <c r="M53" s="1">
        <f t="shared" si="12"/>
        <v>0.25445997238159179</v>
      </c>
      <c r="N53">
        <v>438</v>
      </c>
      <c r="O53" t="s">
        <v>15</v>
      </c>
    </row>
    <row r="54" spans="1:15" x14ac:dyDescent="0.45">
      <c r="B54">
        <v>6</v>
      </c>
      <c r="C54">
        <f>E55-E54</f>
        <v>4.4929981231689453E-2</v>
      </c>
      <c r="E54" s="1">
        <v>1536840311.42734</v>
      </c>
      <c r="F54" s="1">
        <f t="shared" ref="F54" si="47">E54-G54+0.13</f>
        <v>2.3490076065063481E-2</v>
      </c>
      <c r="G54" s="1">
        <v>1536840311.53385</v>
      </c>
      <c r="H54">
        <f>G54-I54</f>
        <v>9.2000007629394531E-2</v>
      </c>
      <c r="I54" s="1">
        <v>1536840311.4418499</v>
      </c>
      <c r="M54" s="1">
        <f t="shared" si="12"/>
        <v>0.11549008369445801</v>
      </c>
      <c r="N54">
        <v>129</v>
      </c>
      <c r="O54" t="s">
        <v>16</v>
      </c>
    </row>
    <row r="55" spans="1:15" x14ac:dyDescent="0.45">
      <c r="B55">
        <v>7</v>
      </c>
      <c r="E55" s="1">
        <v>1536840311.47227</v>
      </c>
      <c r="F55" s="1">
        <f t="shared" ref="F55" si="48">G55-E55-0.13</f>
        <v>2.8360004425048824E-2</v>
      </c>
      <c r="G55" s="1">
        <v>1536840311.63063</v>
      </c>
      <c r="H55">
        <f>I55-G55</f>
        <v>5.5609941482543945E-2</v>
      </c>
      <c r="I55" s="1">
        <v>1536840311.68624</v>
      </c>
      <c r="K55">
        <f>I56-I55</f>
        <v>0.13663005828857422</v>
      </c>
      <c r="M55" s="1">
        <f t="shared" si="12"/>
        <v>8.3969945907592769E-2</v>
      </c>
      <c r="N55">
        <v>113</v>
      </c>
      <c r="O55" t="s">
        <v>17</v>
      </c>
    </row>
    <row r="56" spans="1:15" x14ac:dyDescent="0.45">
      <c r="B56">
        <v>8</v>
      </c>
      <c r="E56" s="1">
        <v>1536840311.8373599</v>
      </c>
      <c r="F56" s="1">
        <f t="shared" ref="F56" si="49">E56-G56+0.13</f>
        <v>9.3639974594116215E-2</v>
      </c>
      <c r="G56" s="1">
        <v>1536840311.8737199</v>
      </c>
      <c r="H56">
        <f>G56-I56</f>
        <v>5.084991455078125E-2</v>
      </c>
      <c r="I56" s="1">
        <v>1536840311.82287</v>
      </c>
      <c r="M56" s="1">
        <f t="shared" si="12"/>
        <v>0.14448988914489747</v>
      </c>
      <c r="N56">
        <v>104</v>
      </c>
      <c r="O56" t="s">
        <v>17</v>
      </c>
    </row>
    <row r="57" spans="1:15" x14ac:dyDescent="0.45">
      <c r="B57" t="s">
        <v>3</v>
      </c>
      <c r="C57">
        <f>C50+C52+C54</f>
        <v>0.20474982261657715</v>
      </c>
      <c r="F57">
        <f t="shared" ref="F57" si="50">SUM(F49:F56)</f>
        <v>0.25957059860229492</v>
      </c>
      <c r="H57">
        <f>SUM(H49:H56)</f>
        <v>1.1980297565460205</v>
      </c>
      <c r="K57">
        <f>K49+K51+K53+K55</f>
        <v>0.28350973129272461</v>
      </c>
      <c r="M57" t="s">
        <v>18</v>
      </c>
      <c r="N57" t="s">
        <v>10</v>
      </c>
      <c r="O57" t="s">
        <v>11</v>
      </c>
    </row>
    <row r="58" spans="1:15" x14ac:dyDescent="0.45">
      <c r="A58">
        <v>7</v>
      </c>
      <c r="B58">
        <v>1</v>
      </c>
      <c r="E58" s="1">
        <v>1536840314.7288001</v>
      </c>
      <c r="F58" s="1">
        <f t="shared" ref="F58" si="51">G58-E58-0.13</f>
        <v>3.6719913482666011E-2</v>
      </c>
      <c r="G58" s="1">
        <v>1536840314.89552</v>
      </c>
      <c r="H58">
        <f>I58-G58</f>
        <v>9.6189975738525391E-2</v>
      </c>
      <c r="I58" s="1">
        <v>1536840314.9917099</v>
      </c>
      <c r="K58">
        <f>I59-I58</f>
        <v>6.2401294708251953E-3</v>
      </c>
      <c r="M58" s="1">
        <f t="shared" ref="M58:M60" si="52">F58+H58</f>
        <v>0.1329098892211914</v>
      </c>
      <c r="N58" s="2">
        <v>169</v>
      </c>
      <c r="O58" s="2" t="s">
        <v>12</v>
      </c>
    </row>
    <row r="59" spans="1:15" x14ac:dyDescent="0.45">
      <c r="B59">
        <v>2</v>
      </c>
      <c r="C59">
        <f>E60-E59</f>
        <v>1.6079902648925781E-2</v>
      </c>
      <c r="E59" s="1">
        <v>1536840315.01249</v>
      </c>
      <c r="F59" s="1">
        <f t="shared" ref="F59" si="53">E59-G59+0.13</f>
        <v>2.878010749816895E-2</v>
      </c>
      <c r="G59" s="1">
        <v>1536840315.1137099</v>
      </c>
      <c r="H59">
        <f>G59-I59</f>
        <v>0.11575984954833984</v>
      </c>
      <c r="I59" s="1">
        <v>1536840314.9979501</v>
      </c>
      <c r="M59" s="1">
        <f t="shared" si="52"/>
        <v>0.14453995704650879</v>
      </c>
      <c r="N59" s="2">
        <v>122</v>
      </c>
      <c r="O59" s="2" t="s">
        <v>13</v>
      </c>
    </row>
    <row r="60" spans="1:15" x14ac:dyDescent="0.45">
      <c r="B60">
        <v>3</v>
      </c>
      <c r="E60" s="1">
        <v>1536840315.0285699</v>
      </c>
      <c r="F60" s="1">
        <f t="shared" ref="F60" si="54">G60-E60-0.13</f>
        <v>3.1180019378662105E-2</v>
      </c>
      <c r="G60" s="1">
        <v>1536840315.18975</v>
      </c>
      <c r="H60">
        <f>I60-G60</f>
        <v>0.14066004753112793</v>
      </c>
      <c r="I60" s="1">
        <v>1536840315.33041</v>
      </c>
      <c r="K60">
        <f>I61-I60</f>
        <v>4.7359943389892578E-2</v>
      </c>
      <c r="M60" s="1">
        <f t="shared" si="52"/>
        <v>0.17184006690979003</v>
      </c>
      <c r="N60" s="2">
        <v>201</v>
      </c>
      <c r="O60" s="2" t="s">
        <v>12</v>
      </c>
    </row>
    <row r="61" spans="1:15" x14ac:dyDescent="0.45">
      <c r="B61">
        <v>4</v>
      </c>
      <c r="C61">
        <f>E62-E61</f>
        <v>0.1583099365234375</v>
      </c>
      <c r="E61" s="1">
        <v>1536840315.6269801</v>
      </c>
      <c r="F61" s="1">
        <f t="shared" ref="F61" si="55">E61-G61+0.13</f>
        <v>3.3229951858520512E-2</v>
      </c>
      <c r="G61" s="1">
        <v>1536840315.7237501</v>
      </c>
      <c r="H61">
        <f>G61-I61</f>
        <v>0.34598016738891602</v>
      </c>
      <c r="I61" s="1">
        <v>1536840315.3777699</v>
      </c>
      <c r="M61" s="1">
        <f t="shared" si="12"/>
        <v>0.37921011924743653</v>
      </c>
      <c r="N61" s="2">
        <v>616</v>
      </c>
      <c r="O61" s="2" t="s">
        <v>14</v>
      </c>
    </row>
    <row r="62" spans="1:15" x14ac:dyDescent="0.45">
      <c r="B62">
        <v>5</v>
      </c>
      <c r="E62" s="1">
        <v>1536840315.78529</v>
      </c>
      <c r="F62" s="1">
        <f t="shared" ref="F62" si="56">G62-E62-0.13</f>
        <v>3.2029981613159175E-2</v>
      </c>
      <c r="G62" s="1">
        <v>1536840315.94732</v>
      </c>
      <c r="H62">
        <f>I62-G62</f>
        <v>0.25993013381958008</v>
      </c>
      <c r="I62" s="1">
        <v>1536840316.2072501</v>
      </c>
      <c r="K62">
        <f>I63-I62</f>
        <v>9.0099811553955078E-2</v>
      </c>
      <c r="M62" s="1">
        <f t="shared" si="12"/>
        <v>0.29196011543273925</v>
      </c>
      <c r="N62" s="2">
        <v>438</v>
      </c>
      <c r="O62" s="2" t="s">
        <v>15</v>
      </c>
    </row>
    <row r="63" spans="1:15" x14ac:dyDescent="0.45">
      <c r="B63">
        <v>6</v>
      </c>
      <c r="C63">
        <f>E64-E63</f>
        <v>4.4340133666992188E-2</v>
      </c>
      <c r="E63" s="1">
        <v>1536840316.3429699</v>
      </c>
      <c r="F63" s="1">
        <f t="shared" ref="F63" si="57">E63-G63+0.13</f>
        <v>7.5809841156005864E-2</v>
      </c>
      <c r="G63" s="1">
        <v>1536840316.3971601</v>
      </c>
      <c r="H63">
        <f>G63-I63</f>
        <v>9.9810123443603516E-2</v>
      </c>
      <c r="I63" s="1">
        <v>1536840316.2973499</v>
      </c>
      <c r="M63" s="1">
        <f t="shared" si="12"/>
        <v>0.17561996459960938</v>
      </c>
      <c r="N63" s="2">
        <v>129</v>
      </c>
      <c r="O63" s="2" t="s">
        <v>16</v>
      </c>
    </row>
    <row r="64" spans="1:15" x14ac:dyDescent="0.45">
      <c r="B64">
        <v>7</v>
      </c>
      <c r="E64" s="1">
        <v>1536840316.38731</v>
      </c>
      <c r="F64" s="1">
        <f t="shared" ref="F64" si="58">G64-E64-0.13</f>
        <v>3.2080049514770503E-2</v>
      </c>
      <c r="G64" s="1">
        <v>1536840316.5493901</v>
      </c>
      <c r="H64">
        <f>I64-G64</f>
        <v>6.4769983291625977E-2</v>
      </c>
      <c r="I64" s="1">
        <v>1536840316.6141601</v>
      </c>
      <c r="K64">
        <f>I65-I64</f>
        <v>0.13602995872497559</v>
      </c>
      <c r="M64" s="1">
        <f t="shared" si="12"/>
        <v>9.685003280639648E-2</v>
      </c>
      <c r="N64" s="2">
        <v>113</v>
      </c>
      <c r="O64" s="2" t="s">
        <v>17</v>
      </c>
    </row>
    <row r="65" spans="1:15" x14ac:dyDescent="0.45">
      <c r="B65">
        <v>8</v>
      </c>
      <c r="E65" s="1">
        <v>1536840316.75179</v>
      </c>
      <c r="F65" s="1">
        <f t="shared" ref="F65" si="59">E65-G65+0.13</f>
        <v>7.721007347106934E-2</v>
      </c>
      <c r="G65" s="1">
        <v>1536840316.80458</v>
      </c>
      <c r="H65">
        <f>G65-I65</f>
        <v>5.438995361328125E-2</v>
      </c>
      <c r="I65" s="1">
        <v>1536840316.75019</v>
      </c>
      <c r="M65" s="1">
        <f t="shared" si="12"/>
        <v>0.13160002708435059</v>
      </c>
      <c r="N65" s="2">
        <v>104</v>
      </c>
      <c r="O65" s="2" t="s">
        <v>17</v>
      </c>
    </row>
    <row r="66" spans="1:15" x14ac:dyDescent="0.45">
      <c r="B66" t="s">
        <v>3</v>
      </c>
      <c r="C66">
        <f>C59+C61+C63</f>
        <v>0.21872997283935547</v>
      </c>
      <c r="F66">
        <f t="shared" ref="F66" si="60">SUM(F58:F65)</f>
        <v>0.34703993797302246</v>
      </c>
      <c r="H66">
        <f>SUM(H58:H65)</f>
        <v>1.177490234375</v>
      </c>
      <c r="K66">
        <f>K58+K60+K62+K64</f>
        <v>0.27972984313964844</v>
      </c>
      <c r="M66" t="s">
        <v>18</v>
      </c>
      <c r="N66" s="2" t="s">
        <v>10</v>
      </c>
      <c r="O66" s="2" t="s">
        <v>11</v>
      </c>
    </row>
    <row r="67" spans="1:15" x14ac:dyDescent="0.45">
      <c r="A67">
        <v>8</v>
      </c>
      <c r="B67">
        <v>1</v>
      </c>
      <c r="E67" s="1">
        <v>1536840318.25892</v>
      </c>
      <c r="F67" s="1">
        <f t="shared" ref="F67" si="61">G67-E67-0.13</f>
        <v>3.8169975280761714E-2</v>
      </c>
      <c r="G67" s="1">
        <v>1536840318.4270899</v>
      </c>
      <c r="H67">
        <f>I67-G67</f>
        <v>0.1424400806427002</v>
      </c>
      <c r="I67" s="1">
        <v>1536840318.56953</v>
      </c>
      <c r="K67">
        <f>I68-I67</f>
        <v>6.1199665069580078E-3</v>
      </c>
      <c r="M67" s="1">
        <f t="shared" ref="M67:M69" si="62">F67+H67</f>
        <v>0.18061005592346191</v>
      </c>
      <c r="N67">
        <v>169</v>
      </c>
      <c r="O67" t="s">
        <v>12</v>
      </c>
    </row>
    <row r="68" spans="1:15" x14ac:dyDescent="0.45">
      <c r="B68">
        <v>2</v>
      </c>
      <c r="C68">
        <f>E69-E68</f>
        <v>2.7750015258789063E-2</v>
      </c>
      <c r="E68" s="1">
        <v>1536840318.595</v>
      </c>
      <c r="F68" s="1">
        <f t="shared" ref="F68" si="63">E68-G68+0.13</f>
        <v>3.1440143585205083E-2</v>
      </c>
      <c r="G68" s="1">
        <v>1536840318.6935599</v>
      </c>
      <c r="H68">
        <f>G68-I68</f>
        <v>0.11790990829467773</v>
      </c>
      <c r="I68" s="1">
        <v>1536840318.57565</v>
      </c>
      <c r="M68" s="1">
        <f t="shared" si="62"/>
        <v>0.14935005187988282</v>
      </c>
      <c r="N68">
        <v>122</v>
      </c>
      <c r="O68" t="s">
        <v>13</v>
      </c>
    </row>
    <row r="69" spans="1:15" x14ac:dyDescent="0.45">
      <c r="B69">
        <v>3</v>
      </c>
      <c r="E69" s="1">
        <v>1536840318.62275</v>
      </c>
      <c r="F69" s="1">
        <f t="shared" ref="F69" si="64">G69-E69-0.13</f>
        <v>3.3509845733642574E-2</v>
      </c>
      <c r="G69" s="1">
        <v>1536840318.7862599</v>
      </c>
      <c r="H69">
        <f>I69-G69</f>
        <v>0.12196016311645508</v>
      </c>
      <c r="I69" s="1">
        <v>1536840318.9082201</v>
      </c>
      <c r="K69">
        <f>I70-I69</f>
        <v>4.6339988708496094E-2</v>
      </c>
      <c r="M69" s="1">
        <f t="shared" si="62"/>
        <v>0.15547000885009765</v>
      </c>
      <c r="N69">
        <v>201</v>
      </c>
      <c r="O69" t="s">
        <v>12</v>
      </c>
    </row>
    <row r="70" spans="1:15" x14ac:dyDescent="0.45">
      <c r="B70">
        <v>4</v>
      </c>
      <c r="C70">
        <f>E71-E70</f>
        <v>0.1641700267791748</v>
      </c>
      <c r="E70" s="1">
        <v>1536840319.2095399</v>
      </c>
      <c r="F70" s="1">
        <f t="shared" ref="F70" si="65">E70-G70+0.13</f>
        <v>3.591979026794434E-2</v>
      </c>
      <c r="G70" s="1">
        <v>1536840319.3036201</v>
      </c>
      <c r="H70">
        <f>G70-I70</f>
        <v>0.34906005859375</v>
      </c>
      <c r="I70" s="1">
        <v>1536840318.95456</v>
      </c>
      <c r="M70" s="1">
        <f t="shared" si="12"/>
        <v>0.38497984886169434</v>
      </c>
      <c r="N70">
        <v>616</v>
      </c>
      <c r="O70" t="s">
        <v>14</v>
      </c>
    </row>
    <row r="71" spans="1:15" x14ac:dyDescent="0.45">
      <c r="B71">
        <v>5</v>
      </c>
      <c r="E71" s="1">
        <v>1536840319.3737099</v>
      </c>
      <c r="F71" s="1">
        <f t="shared" ref="F71" si="66">G71-E71-0.13</f>
        <v>3.4070129394531246E-2</v>
      </c>
      <c r="G71" s="1">
        <v>1536840319.53778</v>
      </c>
      <c r="H71">
        <f>I71-G71</f>
        <v>0.24726986885070801</v>
      </c>
      <c r="I71" s="1">
        <v>1536840319.7850499</v>
      </c>
      <c r="K71">
        <f>I72-I71</f>
        <v>0.10326004028320313</v>
      </c>
      <c r="M71" s="1">
        <f t="shared" si="12"/>
        <v>0.28133999824523925</v>
      </c>
      <c r="N71">
        <v>438</v>
      </c>
      <c r="O71" t="s">
        <v>15</v>
      </c>
    </row>
    <row r="72" spans="1:15" x14ac:dyDescent="0.45">
      <c r="B72">
        <v>6</v>
      </c>
      <c r="C72">
        <f>E73-E72</f>
        <v>3.9029836654663086E-2</v>
      </c>
      <c r="E72" s="1">
        <v>1536840319.8246701</v>
      </c>
      <c r="F72" s="1">
        <f t="shared" ref="F72" si="67">E72-G72+0.13</f>
        <v>-2.2369976043701167E-2</v>
      </c>
      <c r="G72" s="1">
        <v>1536840319.9770401</v>
      </c>
      <c r="H72">
        <f>G72-I72</f>
        <v>8.8730096817016602E-2</v>
      </c>
      <c r="I72" s="1">
        <v>1536840319.88831</v>
      </c>
      <c r="M72" s="1">
        <f t="shared" si="12"/>
        <v>6.6360120773315434E-2</v>
      </c>
      <c r="N72">
        <v>129</v>
      </c>
      <c r="O72" t="s">
        <v>16</v>
      </c>
    </row>
    <row r="73" spans="1:15" x14ac:dyDescent="0.45">
      <c r="B73">
        <v>7</v>
      </c>
      <c r="E73" s="1">
        <v>1536840319.8636999</v>
      </c>
      <c r="F73" s="1">
        <f t="shared" ref="F73" si="68">G73-E73-0.13</f>
        <v>3.4380073547363277E-2</v>
      </c>
      <c r="G73" s="1">
        <v>1536840320.02808</v>
      </c>
      <c r="H73">
        <f>I73-G73</f>
        <v>2.8880119323730469E-2</v>
      </c>
      <c r="I73" s="1">
        <v>1536840320.0569601</v>
      </c>
      <c r="K73">
        <f>I74-I73</f>
        <v>0.13601994514465332</v>
      </c>
      <c r="M73" s="1">
        <f t="shared" si="12"/>
        <v>6.3260192871093746E-2</v>
      </c>
      <c r="N73">
        <v>113</v>
      </c>
      <c r="O73" t="s">
        <v>17</v>
      </c>
    </row>
    <row r="74" spans="1:15" x14ac:dyDescent="0.45">
      <c r="B74">
        <v>8</v>
      </c>
      <c r="E74" s="1">
        <v>1536840320.1314001</v>
      </c>
      <c r="F74" s="1">
        <f t="shared" ref="F74" si="69">E74-G74+0.13</f>
        <v>1.2050037384033208E-2</v>
      </c>
      <c r="G74" s="1">
        <v>1536840320.2493501</v>
      </c>
      <c r="H74">
        <f>G74-I74</f>
        <v>5.6370019912719727E-2</v>
      </c>
      <c r="I74" s="1">
        <v>1536840320.1929801</v>
      </c>
      <c r="M74" s="1">
        <f t="shared" si="12"/>
        <v>6.8420057296752934E-2</v>
      </c>
      <c r="N74">
        <v>104</v>
      </c>
      <c r="O74" t="s">
        <v>17</v>
      </c>
    </row>
    <row r="75" spans="1:15" x14ac:dyDescent="0.45">
      <c r="B75" t="s">
        <v>3</v>
      </c>
      <c r="C75">
        <f>C68+C70+C72</f>
        <v>0.23094987869262695</v>
      </c>
      <c r="F75">
        <f t="shared" ref="F75" si="70">SUM(F67:F74)</f>
        <v>0.19717001914978027</v>
      </c>
      <c r="H75">
        <f>SUM(H67:H74)</f>
        <v>1.1526203155517578</v>
      </c>
      <c r="K75">
        <f>K67+K69+K71+K73</f>
        <v>0.29173994064331055</v>
      </c>
      <c r="M75" t="s">
        <v>18</v>
      </c>
      <c r="N75" t="s">
        <v>10</v>
      </c>
      <c r="O75" t="s">
        <v>11</v>
      </c>
    </row>
    <row r="76" spans="1:15" x14ac:dyDescent="0.45">
      <c r="A76">
        <v>9</v>
      </c>
      <c r="B76">
        <v>1</v>
      </c>
      <c r="E76" s="1">
        <v>1536840321.58603</v>
      </c>
      <c r="F76" s="1">
        <f t="shared" ref="F76" si="71">G76-E76-0.13</f>
        <v>4.0490026473999019E-2</v>
      </c>
      <c r="G76" s="1">
        <v>1536840321.75652</v>
      </c>
      <c r="H76">
        <f>I76-G76</f>
        <v>0.12080001831054688</v>
      </c>
      <c r="I76" s="1">
        <v>1536840321.8773201</v>
      </c>
      <c r="K76">
        <f>I77-I76</f>
        <v>6.34002685546875E-3</v>
      </c>
      <c r="M76" s="1">
        <f t="shared" ref="M76:M78" si="72">F76+H76</f>
        <v>0.16129004478454589</v>
      </c>
      <c r="N76" s="2">
        <v>169</v>
      </c>
      <c r="O76" s="2" t="s">
        <v>12</v>
      </c>
    </row>
    <row r="77" spans="1:15" x14ac:dyDescent="0.45">
      <c r="B77">
        <v>2</v>
      </c>
      <c r="C77">
        <f>E78-E77</f>
        <v>9.9799633026123047E-3</v>
      </c>
      <c r="E77" s="1">
        <v>1536840321.87251</v>
      </c>
      <c r="F77" s="1">
        <f t="shared" ref="F77" si="73">E77-G77+0.13</f>
        <v>-7.3015213012694868E-4</v>
      </c>
      <c r="G77" s="1">
        <v>1536840322.0032401</v>
      </c>
      <c r="H77">
        <f>G77-I77</f>
        <v>0.11958003044128418</v>
      </c>
      <c r="I77" s="1">
        <v>1536840321.8836601</v>
      </c>
      <c r="M77" s="1">
        <f t="shared" si="72"/>
        <v>0.11884987831115723</v>
      </c>
      <c r="N77" s="2">
        <v>122</v>
      </c>
      <c r="O77" s="2" t="s">
        <v>13</v>
      </c>
    </row>
    <row r="78" spans="1:15" x14ac:dyDescent="0.45">
      <c r="B78">
        <v>3</v>
      </c>
      <c r="E78" s="1">
        <v>1536840321.8824899</v>
      </c>
      <c r="F78" s="1">
        <f t="shared" ref="F78" si="74">G78-E78-0.13</f>
        <v>3.360998153686523E-2</v>
      </c>
      <c r="G78" s="1">
        <v>1536840322.0460999</v>
      </c>
      <c r="H78">
        <f>I78-G78</f>
        <v>0.10303997993469238</v>
      </c>
      <c r="I78" s="1">
        <v>1536840322.1491399</v>
      </c>
      <c r="K78">
        <f>I79-I78</f>
        <v>4.6670198440551758E-2</v>
      </c>
      <c r="M78" s="1">
        <f t="shared" si="72"/>
        <v>0.13664996147155761</v>
      </c>
      <c r="N78" s="2">
        <v>201</v>
      </c>
      <c r="O78" s="2" t="s">
        <v>12</v>
      </c>
    </row>
    <row r="79" spans="1:15" x14ac:dyDescent="0.45">
      <c r="B79">
        <v>4</v>
      </c>
      <c r="C79">
        <f>E80-E79</f>
        <v>0.12829017639160156</v>
      </c>
      <c r="E79" s="1">
        <v>1536840322.3893299</v>
      </c>
      <c r="F79" s="1">
        <f t="shared" ref="F79" si="75">E79-G79+0.13</f>
        <v>-2.6409978866577144E-2</v>
      </c>
      <c r="G79" s="1">
        <v>1536840322.5457399</v>
      </c>
      <c r="H79">
        <f>G79-I79</f>
        <v>0.3499298095703125</v>
      </c>
      <c r="I79" s="1">
        <v>1536840322.1958101</v>
      </c>
      <c r="M79" s="1">
        <f t="shared" si="12"/>
        <v>0.32351983070373536</v>
      </c>
      <c r="N79" s="2">
        <v>616</v>
      </c>
      <c r="O79" s="2" t="s">
        <v>14</v>
      </c>
    </row>
    <row r="80" spans="1:15" x14ac:dyDescent="0.45">
      <c r="B80">
        <v>5</v>
      </c>
      <c r="E80" s="1">
        <v>1536840322.5176201</v>
      </c>
      <c r="F80" s="1">
        <f t="shared" ref="F80" si="76">G80-E80-0.13</f>
        <v>3.595983505249023E-2</v>
      </c>
      <c r="G80" s="1">
        <v>1536840322.6835799</v>
      </c>
      <c r="H80">
        <f>I80-G80</f>
        <v>0.27425003051757813</v>
      </c>
      <c r="I80" s="1">
        <v>1536840322.95783</v>
      </c>
      <c r="K80">
        <f>I81-I80</f>
        <v>7.9349994659423828E-2</v>
      </c>
      <c r="M80" s="1">
        <f t="shared" si="12"/>
        <v>0.31020986557006835</v>
      </c>
      <c r="N80" s="2">
        <v>438</v>
      </c>
      <c r="O80" s="2" t="s">
        <v>15</v>
      </c>
    </row>
    <row r="81" spans="1:15" x14ac:dyDescent="0.45">
      <c r="B81">
        <v>6</v>
      </c>
      <c r="C81">
        <f>E82-E81</f>
        <v>4.7600030899047852E-2</v>
      </c>
      <c r="E81" s="1">
        <v>1536840323.1013501</v>
      </c>
      <c r="F81" s="1">
        <f t="shared" ref="F81" si="77">E81-G81+0.13</f>
        <v>7.9779987335205083E-2</v>
      </c>
      <c r="G81" s="1">
        <v>1536840323.1515701</v>
      </c>
      <c r="H81">
        <f>G81-I81</f>
        <v>0.11439013481140137</v>
      </c>
      <c r="I81" s="1">
        <v>1536840323.0371799</v>
      </c>
      <c r="M81" s="1">
        <f t="shared" si="12"/>
        <v>0.19417012214660645</v>
      </c>
      <c r="N81" s="2">
        <v>129</v>
      </c>
      <c r="O81" s="2" t="s">
        <v>16</v>
      </c>
    </row>
    <row r="82" spans="1:15" x14ac:dyDescent="0.45">
      <c r="B82">
        <v>7</v>
      </c>
      <c r="E82" s="1">
        <v>1536840323.1489501</v>
      </c>
      <c r="F82" s="1">
        <f t="shared" ref="F82" si="78">G82-E82-0.13</f>
        <v>3.6440010070800777E-2</v>
      </c>
      <c r="G82" s="1">
        <v>1536840323.3153901</v>
      </c>
      <c r="H82">
        <f>I82-G82</f>
        <v>4.9349784851074219E-2</v>
      </c>
      <c r="I82" s="1">
        <v>1536840323.3647399</v>
      </c>
      <c r="K82">
        <f>I83-I82</f>
        <v>0.13605022430419922</v>
      </c>
      <c r="M82" s="1">
        <f t="shared" si="12"/>
        <v>8.5789794921874996E-2</v>
      </c>
      <c r="N82" s="2">
        <v>113</v>
      </c>
      <c r="O82" s="2" t="s">
        <v>17</v>
      </c>
    </row>
    <row r="83" spans="1:15" x14ac:dyDescent="0.45">
      <c r="B83">
        <v>8</v>
      </c>
      <c r="E83" s="1">
        <v>1536840323.4038899</v>
      </c>
      <c r="F83" s="1">
        <f t="shared" ref="F83" si="79">E83-G83+0.13</f>
        <v>-2.5090093612670894E-2</v>
      </c>
      <c r="G83" s="1">
        <v>1536840323.55898</v>
      </c>
      <c r="H83">
        <f>G83-I83</f>
        <v>5.8189868927001953E-2</v>
      </c>
      <c r="I83" s="1">
        <v>1536840323.5007901</v>
      </c>
      <c r="M83" s="1">
        <f t="shared" si="12"/>
        <v>3.3099775314331059E-2</v>
      </c>
      <c r="N83" s="2">
        <v>104</v>
      </c>
      <c r="O83" s="2" t="s">
        <v>17</v>
      </c>
    </row>
    <row r="84" spans="1:15" x14ac:dyDescent="0.45">
      <c r="B84" t="s">
        <v>3</v>
      </c>
      <c r="C84">
        <f>C77+C79+C81</f>
        <v>0.18587017059326172</v>
      </c>
      <c r="F84">
        <f t="shared" ref="F84" si="80">SUM(F76:F83)</f>
        <v>0.17404961585998535</v>
      </c>
      <c r="H84">
        <f>SUM(H76:H83)</f>
        <v>1.1895296573638916</v>
      </c>
      <c r="K84">
        <f>K76+K78+K80+K82</f>
        <v>0.26841044425964355</v>
      </c>
      <c r="M84" t="s">
        <v>18</v>
      </c>
      <c r="N84" s="2" t="s">
        <v>10</v>
      </c>
      <c r="O84" s="2" t="s">
        <v>11</v>
      </c>
    </row>
    <row r="85" spans="1:15" x14ac:dyDescent="0.45">
      <c r="A85">
        <v>10</v>
      </c>
      <c r="B85">
        <v>1</v>
      </c>
      <c r="E85" s="1">
        <v>1536840326.21808</v>
      </c>
      <c r="F85" s="1">
        <f t="shared" ref="F85" si="81">G85-E85-0.13</f>
        <v>4.4010038375854488E-2</v>
      </c>
      <c r="G85" s="1">
        <v>1536840326.3920901</v>
      </c>
      <c r="H85">
        <f>I85-G85</f>
        <v>0.14313983917236328</v>
      </c>
      <c r="I85" s="1">
        <v>1536840326.5352299</v>
      </c>
      <c r="K85">
        <f>I86-I85</f>
        <v>6.2901973724365234E-3</v>
      </c>
      <c r="M85" s="1">
        <f t="shared" ref="M85:M146" si="82">F85+H85</f>
        <v>0.18714987754821777</v>
      </c>
      <c r="N85">
        <v>169</v>
      </c>
      <c r="O85" t="s">
        <v>12</v>
      </c>
    </row>
    <row r="86" spans="1:15" x14ac:dyDescent="0.45">
      <c r="B86">
        <v>2</v>
      </c>
      <c r="C86">
        <f>E87-E86</f>
        <v>3.0600070953369141E-2</v>
      </c>
      <c r="E86" s="1">
        <v>1536840326.5827899</v>
      </c>
      <c r="F86" s="1">
        <f t="shared" ref="F86" si="83">E86-G86+0.13</f>
        <v>4.8449878692626958E-2</v>
      </c>
      <c r="G86" s="1">
        <v>1536840326.66434</v>
      </c>
      <c r="H86">
        <f>G86-I86</f>
        <v>0.12281990051269531</v>
      </c>
      <c r="I86" s="1">
        <v>1536840326.5415201</v>
      </c>
      <c r="M86" s="1">
        <f t="shared" si="82"/>
        <v>0.17126977920532227</v>
      </c>
      <c r="N86">
        <v>122</v>
      </c>
      <c r="O86" t="s">
        <v>13</v>
      </c>
    </row>
    <row r="87" spans="1:15" x14ac:dyDescent="0.45">
      <c r="B87">
        <v>3</v>
      </c>
      <c r="E87" s="1">
        <v>1536840326.61339</v>
      </c>
      <c r="F87" s="1">
        <f t="shared" ref="F87" si="84">G87-E87-0.13</f>
        <v>3.8610095977783199E-2</v>
      </c>
      <c r="G87" s="1">
        <v>1536840326.7820001</v>
      </c>
      <c r="H87">
        <f>I87-G87</f>
        <v>9.1899871826171875E-2</v>
      </c>
      <c r="I87" s="1">
        <v>1536840326.8738999</v>
      </c>
      <c r="K87">
        <f>I88-I87</f>
        <v>4.7379970550537109E-2</v>
      </c>
      <c r="M87" s="1">
        <f t="shared" si="82"/>
        <v>0.13050996780395507</v>
      </c>
      <c r="N87">
        <v>201</v>
      </c>
      <c r="O87" t="s">
        <v>12</v>
      </c>
    </row>
    <row r="88" spans="1:15" x14ac:dyDescent="0.45">
      <c r="B88">
        <v>4</v>
      </c>
      <c r="C88">
        <f>E89-E88</f>
        <v>0.14837980270385742</v>
      </c>
      <c r="E88" s="1">
        <v>1536840327.1967101</v>
      </c>
      <c r="F88" s="1">
        <f t="shared" ref="F88" si="85">E88-G88+0.13</f>
        <v>5.3010110855102544E-2</v>
      </c>
      <c r="G88" s="1">
        <v>1536840327.2737</v>
      </c>
      <c r="H88">
        <f>G88-I88</f>
        <v>0.35242009162902832</v>
      </c>
      <c r="I88" s="1">
        <v>1536840326.9212799</v>
      </c>
      <c r="M88" s="1">
        <f t="shared" si="82"/>
        <v>0.40543020248413086</v>
      </c>
      <c r="N88">
        <v>616</v>
      </c>
      <c r="O88" t="s">
        <v>14</v>
      </c>
    </row>
    <row r="89" spans="1:15" x14ac:dyDescent="0.45">
      <c r="B89">
        <v>5</v>
      </c>
      <c r="E89" s="1">
        <v>1536840327.3450899</v>
      </c>
      <c r="F89" s="1">
        <f t="shared" ref="F89" si="86">G89-E89-0.13</f>
        <v>3.8750047683715816E-2</v>
      </c>
      <c r="G89" s="1">
        <v>1536840327.51384</v>
      </c>
      <c r="H89">
        <f>I89-G89</f>
        <v>0.23690009117126465</v>
      </c>
      <c r="I89" s="1">
        <v>1536840327.7507401</v>
      </c>
      <c r="K89">
        <f>I90-I89</f>
        <v>9.2319965362548828E-2</v>
      </c>
      <c r="M89" s="1">
        <f t="shared" si="82"/>
        <v>0.27565013885498046</v>
      </c>
      <c r="N89">
        <v>438</v>
      </c>
      <c r="O89" t="s">
        <v>15</v>
      </c>
    </row>
    <row r="90" spans="1:15" x14ac:dyDescent="0.45">
      <c r="B90">
        <v>6</v>
      </c>
      <c r="C90">
        <f>E91-E90</f>
        <v>4.9700021743774414E-2</v>
      </c>
      <c r="E90" s="1">
        <v>1536840327.8106</v>
      </c>
      <c r="F90" s="1">
        <f t="shared" ref="F90" si="87">E90-G90+0.13</f>
        <v>-6.4898681640624956E-3</v>
      </c>
      <c r="G90" s="1">
        <v>1536840327.9470899</v>
      </c>
      <c r="H90">
        <f>G90-I90</f>
        <v>0.10402989387512207</v>
      </c>
      <c r="I90" s="1">
        <v>1536840327.84306</v>
      </c>
      <c r="M90" s="1">
        <f t="shared" si="82"/>
        <v>9.7540025711059575E-2</v>
      </c>
      <c r="N90">
        <v>129</v>
      </c>
      <c r="O90" t="s">
        <v>16</v>
      </c>
    </row>
    <row r="91" spans="1:15" x14ac:dyDescent="0.45">
      <c r="B91">
        <v>7</v>
      </c>
      <c r="E91" s="1">
        <v>1536840327.8603001</v>
      </c>
      <c r="F91" s="1">
        <f t="shared" ref="F91" si="88">G91-E91-0.13</f>
        <v>3.9469833374023433E-2</v>
      </c>
      <c r="G91" s="1">
        <v>1536840328.0297699</v>
      </c>
      <c r="H91">
        <f>I91-G91</f>
        <v>6.0389995574951172E-2</v>
      </c>
      <c r="I91" s="1">
        <v>1536840328.0901599</v>
      </c>
      <c r="K91">
        <f>I92-I91</f>
        <v>0.13757014274597168</v>
      </c>
      <c r="M91" s="1">
        <f t="shared" si="82"/>
        <v>9.9859828948974605E-2</v>
      </c>
      <c r="N91">
        <v>113</v>
      </c>
      <c r="O91" t="s">
        <v>17</v>
      </c>
    </row>
    <row r="92" spans="1:15" x14ac:dyDescent="0.45">
      <c r="B92">
        <v>8</v>
      </c>
      <c r="E92" s="1">
        <v>1536840328.22211</v>
      </c>
      <c r="F92" s="1">
        <f t="shared" ref="F92" si="89">E92-G92+0.13</f>
        <v>6.5169935226440434E-2</v>
      </c>
      <c r="G92" s="1">
        <v>1536840328.2869401</v>
      </c>
      <c r="H92">
        <f>G92-I92</f>
        <v>5.9210062026977539E-2</v>
      </c>
      <c r="I92" s="1">
        <v>1536840328.22773</v>
      </c>
      <c r="M92" s="1">
        <f t="shared" si="82"/>
        <v>0.12437999725341797</v>
      </c>
      <c r="N92">
        <v>104</v>
      </c>
      <c r="O92" t="s">
        <v>17</v>
      </c>
    </row>
    <row r="93" spans="1:15" x14ac:dyDescent="0.45">
      <c r="B93" t="s">
        <v>3</v>
      </c>
      <c r="C93">
        <f>C86+C88+C90</f>
        <v>0.22867989540100098</v>
      </c>
      <c r="F93">
        <f t="shared" ref="F93" si="90">SUM(F85:F92)</f>
        <v>0.32098007202148438</v>
      </c>
      <c r="H93">
        <f>SUM(H85:H92)</f>
        <v>1.1708097457885742</v>
      </c>
      <c r="K93">
        <f>K85+K87+K89+K91</f>
        <v>0.28356027603149414</v>
      </c>
      <c r="M93" t="s">
        <v>18</v>
      </c>
      <c r="N93" t="s">
        <v>10</v>
      </c>
      <c r="O93" t="s">
        <v>11</v>
      </c>
    </row>
    <row r="94" spans="1:15" x14ac:dyDescent="0.45">
      <c r="A94">
        <v>11</v>
      </c>
      <c r="B94">
        <v>1</v>
      </c>
      <c r="E94" s="1">
        <v>1536840331.72208</v>
      </c>
      <c r="F94" s="1">
        <f t="shared" ref="F94" si="91">G94-E94-0.13</f>
        <v>4.7230119705200191E-2</v>
      </c>
      <c r="G94" s="1">
        <v>1536840331.8993101</v>
      </c>
      <c r="H94">
        <f>I94-G94</f>
        <v>0.10388994216918945</v>
      </c>
      <c r="I94" s="1">
        <v>1536840332.0032001</v>
      </c>
      <c r="K94">
        <f>I95-I94</f>
        <v>6.3099861145019531E-3</v>
      </c>
      <c r="M94" s="1">
        <f t="shared" ref="M94:M96" si="92">F94+H94</f>
        <v>0.15112006187438964</v>
      </c>
      <c r="N94" s="2">
        <v>169</v>
      </c>
      <c r="O94" s="2" t="s">
        <v>12</v>
      </c>
    </row>
    <row r="95" spans="1:15" x14ac:dyDescent="0.45">
      <c r="B95">
        <v>2</v>
      </c>
      <c r="C95">
        <f>E96-E95</f>
        <v>2.1319866180419922E-2</v>
      </c>
      <c r="E95" s="1">
        <v>1536840332.0097001</v>
      </c>
      <c r="F95" s="1">
        <f t="shared" ref="F95" si="93">E95-G95+0.13</f>
        <v>5.1699924468994185E-3</v>
      </c>
      <c r="G95" s="1">
        <v>1536840332.1345301</v>
      </c>
      <c r="H95">
        <f>G95-I95</f>
        <v>0.12502002716064453</v>
      </c>
      <c r="I95" s="1">
        <v>1536840332.00951</v>
      </c>
      <c r="M95" s="1">
        <f t="shared" si="92"/>
        <v>0.13019001960754395</v>
      </c>
      <c r="N95" s="2">
        <v>122</v>
      </c>
      <c r="O95" s="2" t="s">
        <v>13</v>
      </c>
    </row>
    <row r="96" spans="1:15" x14ac:dyDescent="0.45">
      <c r="B96">
        <v>3</v>
      </c>
      <c r="E96" s="1">
        <v>1536840332.0310199</v>
      </c>
      <c r="F96" s="1">
        <f t="shared" ref="F96" si="94">G96-E96-0.13</f>
        <v>4.1980142593383785E-2</v>
      </c>
      <c r="G96" s="1">
        <v>1536840332.2030001</v>
      </c>
      <c r="H96">
        <f>I96-G96</f>
        <v>0.13889002799987793</v>
      </c>
      <c r="I96" s="1">
        <v>1536840332.3418901</v>
      </c>
      <c r="K96">
        <f>I97-I96</f>
        <v>4.7089815139770508E-2</v>
      </c>
      <c r="M96" s="1">
        <f t="shared" si="92"/>
        <v>0.18087017059326171</v>
      </c>
      <c r="N96" s="2">
        <v>201</v>
      </c>
      <c r="O96" s="2" t="s">
        <v>12</v>
      </c>
    </row>
    <row r="97" spans="1:15" x14ac:dyDescent="0.45">
      <c r="B97">
        <v>4</v>
      </c>
      <c r="C97">
        <f>E98-E97</f>
        <v>0.14473986625671387</v>
      </c>
      <c r="E97" s="1">
        <v>1536840332.72686</v>
      </c>
      <c r="F97" s="1">
        <f t="shared" ref="F97" si="95">E97-G97+0.13</f>
        <v>4.6810035705566411E-2</v>
      </c>
      <c r="G97" s="1">
        <v>1536840332.81005</v>
      </c>
      <c r="H97">
        <f>G97-I97</f>
        <v>0.42107009887695313</v>
      </c>
      <c r="I97" s="1">
        <v>1536840332.3889799</v>
      </c>
      <c r="M97" s="1">
        <f t="shared" si="82"/>
        <v>0.46788013458251954</v>
      </c>
      <c r="N97" s="2">
        <v>616</v>
      </c>
      <c r="O97" s="2" t="s">
        <v>14</v>
      </c>
    </row>
    <row r="98" spans="1:15" x14ac:dyDescent="0.45">
      <c r="B98">
        <v>5</v>
      </c>
      <c r="E98" s="1">
        <v>1536840332.8715999</v>
      </c>
      <c r="F98" s="1">
        <f t="shared" ref="F98" si="96">G98-E98-0.13</f>
        <v>4.4040079116821285E-2</v>
      </c>
      <c r="G98" s="1">
        <v>1536840333.04564</v>
      </c>
      <c r="H98">
        <f>I98-G98</f>
        <v>0.2406001091003418</v>
      </c>
      <c r="I98" s="1">
        <v>1536840333.2862401</v>
      </c>
      <c r="K98">
        <f>I99-I98</f>
        <v>7.6639890670776367E-2</v>
      </c>
      <c r="M98" s="1">
        <f t="shared" si="82"/>
        <v>0.28464018821716308</v>
      </c>
      <c r="N98" s="2">
        <v>438</v>
      </c>
      <c r="O98" s="2" t="s">
        <v>15</v>
      </c>
    </row>
    <row r="99" spans="1:15" x14ac:dyDescent="0.45">
      <c r="B99">
        <v>6</v>
      </c>
      <c r="C99">
        <f>E100-E99</f>
        <v>4.2670011520385742E-2</v>
      </c>
      <c r="E99" s="1">
        <v>1536840333.3427501</v>
      </c>
      <c r="F99" s="1">
        <f t="shared" ref="F99" si="97">E99-G99+0.13</f>
        <v>-1.270997047424316E-2</v>
      </c>
      <c r="G99" s="1">
        <v>1536840333.48546</v>
      </c>
      <c r="H99">
        <f>G99-I99</f>
        <v>0.12258005142211914</v>
      </c>
      <c r="I99" s="1">
        <v>1536840333.36288</v>
      </c>
      <c r="M99" s="1">
        <f t="shared" si="82"/>
        <v>0.10987008094787598</v>
      </c>
      <c r="N99" s="2">
        <v>129</v>
      </c>
      <c r="O99" s="2" t="s">
        <v>16</v>
      </c>
    </row>
    <row r="100" spans="1:15" x14ac:dyDescent="0.45">
      <c r="B100">
        <v>7</v>
      </c>
      <c r="E100" s="1">
        <v>1536840333.3854201</v>
      </c>
      <c r="F100" s="1">
        <f t="shared" ref="F100" si="98">G100-E100-0.13</f>
        <v>4.4619913101196285E-2</v>
      </c>
      <c r="G100" s="1">
        <v>1536840333.56004</v>
      </c>
      <c r="H100">
        <f>I100-G100</f>
        <v>6.5599918365478516E-2</v>
      </c>
      <c r="I100" s="1">
        <v>1536840333.6256399</v>
      </c>
      <c r="K100">
        <f>I101-I100</f>
        <v>0.1358799934387207</v>
      </c>
      <c r="M100" s="1">
        <f t="shared" si="82"/>
        <v>0.1102198314666748</v>
      </c>
      <c r="N100" s="2">
        <v>113</v>
      </c>
      <c r="O100" s="2" t="s">
        <v>17</v>
      </c>
    </row>
    <row r="101" spans="1:15" x14ac:dyDescent="0.45">
      <c r="B101">
        <v>8</v>
      </c>
      <c r="E101" s="1">
        <v>1536840333.74648</v>
      </c>
      <c r="F101" s="1">
        <f t="shared" ref="F101" si="99">E101-G101+0.13</f>
        <v>5.118000984191895E-2</v>
      </c>
      <c r="G101" s="1">
        <v>1536840333.8253</v>
      </c>
      <c r="H101">
        <f>G101-I101</f>
        <v>6.3780069351196289E-2</v>
      </c>
      <c r="I101" s="1">
        <v>1536840333.7615199</v>
      </c>
      <c r="M101" s="1">
        <f t="shared" si="82"/>
        <v>0.11496007919311524</v>
      </c>
      <c r="N101" s="2">
        <v>104</v>
      </c>
      <c r="O101" s="2" t="s">
        <v>17</v>
      </c>
    </row>
    <row r="102" spans="1:15" x14ac:dyDescent="0.45">
      <c r="B102" t="s">
        <v>3</v>
      </c>
      <c r="C102">
        <f>C95+C97+C99</f>
        <v>0.20872974395751953</v>
      </c>
      <c r="F102">
        <f t="shared" ref="F102" si="100">SUM(F94:F101)</f>
        <v>0.26832032203674316</v>
      </c>
      <c r="H102">
        <f>SUM(H94:H101)</f>
        <v>1.2814302444458008</v>
      </c>
      <c r="K102">
        <f>K94+K96+K98+K100</f>
        <v>0.26591968536376953</v>
      </c>
      <c r="M102" t="s">
        <v>18</v>
      </c>
      <c r="N102" s="2" t="s">
        <v>10</v>
      </c>
      <c r="O102" s="2" t="s">
        <v>11</v>
      </c>
    </row>
    <row r="103" spans="1:15" x14ac:dyDescent="0.45">
      <c r="A103">
        <v>12</v>
      </c>
      <c r="B103">
        <v>1</v>
      </c>
      <c r="E103" s="1">
        <v>1536840335.84619</v>
      </c>
      <c r="F103" s="1">
        <f t="shared" ref="F103" si="101">G103-E103-0.13</f>
        <v>4.8940057754516597E-2</v>
      </c>
      <c r="G103" s="1">
        <v>1536840336.02513</v>
      </c>
      <c r="H103">
        <f>I103-G103</f>
        <v>9.5910072326660156E-2</v>
      </c>
      <c r="I103" s="1">
        <v>1536840336.1210401</v>
      </c>
      <c r="K103">
        <f>I104-I103</f>
        <v>6.2198638916015625E-3</v>
      </c>
      <c r="M103" s="1">
        <f t="shared" ref="M103:M105" si="102">F103+H103</f>
        <v>0.14485013008117675</v>
      </c>
      <c r="N103">
        <v>169</v>
      </c>
      <c r="O103" t="s">
        <v>12</v>
      </c>
    </row>
    <row r="104" spans="1:15" x14ac:dyDescent="0.45">
      <c r="B104">
        <v>2</v>
      </c>
      <c r="C104">
        <f>E105-E104</f>
        <v>1.3039827346801758E-2</v>
      </c>
      <c r="E104" s="1">
        <v>1536840336.1076701</v>
      </c>
      <c r="F104" s="1">
        <f t="shared" ref="F104" si="103">E104-G104+0.13</f>
        <v>-1.6800041198730464E-2</v>
      </c>
      <c r="G104" s="1">
        <v>1536840336.2544701</v>
      </c>
      <c r="H104">
        <f>G104-I104</f>
        <v>0.12721014022827148</v>
      </c>
      <c r="I104" s="1">
        <v>1536840336.12726</v>
      </c>
      <c r="M104" s="1">
        <f t="shared" si="102"/>
        <v>0.11041009902954102</v>
      </c>
      <c r="N104">
        <v>122</v>
      </c>
      <c r="O104" t="s">
        <v>13</v>
      </c>
    </row>
    <row r="105" spans="1:15" x14ac:dyDescent="0.45">
      <c r="B105">
        <v>3</v>
      </c>
      <c r="E105" s="1">
        <v>1536840336.1207099</v>
      </c>
      <c r="F105" s="1">
        <f t="shared" ref="F105" si="104">G105-E105-0.13</f>
        <v>4.087006568908691E-2</v>
      </c>
      <c r="G105" s="1">
        <v>1536840336.29158</v>
      </c>
      <c r="H105">
        <f>I105-G105</f>
        <v>0.10066008567810059</v>
      </c>
      <c r="I105" s="1">
        <v>1536840336.39224</v>
      </c>
      <c r="K105">
        <f>I106-I105</f>
        <v>4.8079967498779297E-2</v>
      </c>
      <c r="M105" s="1">
        <f t="shared" si="102"/>
        <v>0.1415301513671875</v>
      </c>
      <c r="N105">
        <v>201</v>
      </c>
      <c r="O105" t="s">
        <v>12</v>
      </c>
    </row>
    <row r="106" spans="1:15" x14ac:dyDescent="0.45">
      <c r="B106">
        <v>4</v>
      </c>
      <c r="C106">
        <f>E107-E106</f>
        <v>0.1582798957824707</v>
      </c>
      <c r="E106" s="1">
        <v>1536840336.7207201</v>
      </c>
      <c r="F106" s="1">
        <f t="shared" ref="F106" si="105">E106-G106+0.13</f>
        <v>-1.1739845275878902E-2</v>
      </c>
      <c r="G106" s="1">
        <v>1536840336.8624599</v>
      </c>
      <c r="H106">
        <f>G106-I106</f>
        <v>0.42213988304138184</v>
      </c>
      <c r="I106" s="1">
        <v>1536840336.44032</v>
      </c>
      <c r="M106" s="1">
        <f t="shared" si="82"/>
        <v>0.41040003776550293</v>
      </c>
      <c r="N106">
        <v>616</v>
      </c>
      <c r="O106" t="s">
        <v>14</v>
      </c>
    </row>
    <row r="107" spans="1:15" x14ac:dyDescent="0.45">
      <c r="B107">
        <v>5</v>
      </c>
      <c r="E107" s="1">
        <v>1536840336.8789999</v>
      </c>
      <c r="F107" s="1">
        <f t="shared" ref="F107" si="106">G107-E107-0.13</f>
        <v>4.5869941711425777E-2</v>
      </c>
      <c r="G107" s="1">
        <v>1536840337.0548699</v>
      </c>
      <c r="H107">
        <f>I107-G107</f>
        <v>0.21421003341674805</v>
      </c>
      <c r="I107" s="1">
        <v>1536840337.2690799</v>
      </c>
      <c r="K107">
        <f>I108-I107</f>
        <v>9.3770027160644531E-2</v>
      </c>
      <c r="M107" s="1">
        <f t="shared" si="82"/>
        <v>0.26007997512817382</v>
      </c>
      <c r="N107">
        <v>438</v>
      </c>
      <c r="O107" t="s">
        <v>15</v>
      </c>
    </row>
    <row r="108" spans="1:15" x14ac:dyDescent="0.45">
      <c r="B108">
        <v>6</v>
      </c>
      <c r="C108">
        <f>E109-E108</f>
        <v>5.0629854202270508E-2</v>
      </c>
      <c r="E108" s="1">
        <v>1536840337.33658</v>
      </c>
      <c r="F108" s="1">
        <f t="shared" ref="F108" si="107">E108-G108+0.13</f>
        <v>-3.7499618530273393E-3</v>
      </c>
      <c r="G108" s="1">
        <v>1536840337.47033</v>
      </c>
      <c r="H108">
        <f>G108-I108</f>
        <v>0.10748004913330078</v>
      </c>
      <c r="I108" s="1">
        <v>1536840337.36285</v>
      </c>
      <c r="M108" s="1">
        <f t="shared" si="82"/>
        <v>0.10373008728027344</v>
      </c>
      <c r="N108">
        <v>129</v>
      </c>
      <c r="O108" t="s">
        <v>16</v>
      </c>
    </row>
    <row r="109" spans="1:15" x14ac:dyDescent="0.45">
      <c r="B109">
        <v>7</v>
      </c>
      <c r="E109" s="1">
        <v>1536840337.3872099</v>
      </c>
      <c r="F109" s="1">
        <f t="shared" ref="F109" si="108">G109-E109-0.13</f>
        <v>4.4710035324096675E-2</v>
      </c>
      <c r="G109" s="1">
        <v>1536840337.5619199</v>
      </c>
      <c r="H109">
        <f>I109-G109</f>
        <v>4.6560049057006836E-2</v>
      </c>
      <c r="I109" s="1">
        <v>1536840337.60848</v>
      </c>
      <c r="K109">
        <f>I110-I109</f>
        <v>0.1361699104309082</v>
      </c>
      <c r="M109" s="1">
        <f t="shared" si="82"/>
        <v>9.1270084381103511E-2</v>
      </c>
      <c r="N109">
        <v>113</v>
      </c>
      <c r="O109" t="s">
        <v>17</v>
      </c>
    </row>
    <row r="110" spans="1:15" x14ac:dyDescent="0.45">
      <c r="B110">
        <v>8</v>
      </c>
      <c r="E110" s="1">
        <v>1536840337.7437401</v>
      </c>
      <c r="F110" s="1">
        <f t="shared" ref="F110" si="109">E110-G110+0.13</f>
        <v>6.3670043945312504E-2</v>
      </c>
      <c r="G110" s="1">
        <v>1536840337.81007</v>
      </c>
      <c r="H110">
        <f>G110-I110</f>
        <v>6.5420150756835938E-2</v>
      </c>
      <c r="I110" s="1">
        <v>1536840337.7446499</v>
      </c>
      <c r="M110" s="1">
        <f t="shared" si="82"/>
        <v>0.12909019470214844</v>
      </c>
      <c r="N110">
        <v>104</v>
      </c>
      <c r="O110" t="s">
        <v>17</v>
      </c>
    </row>
    <row r="111" spans="1:15" x14ac:dyDescent="0.45">
      <c r="B111" t="s">
        <v>3</v>
      </c>
      <c r="C111">
        <f>C104+C106+C108</f>
        <v>0.22194957733154297</v>
      </c>
      <c r="F111">
        <f t="shared" ref="F111" si="110">SUM(F103:F110)</f>
        <v>0.21177029609680176</v>
      </c>
      <c r="H111">
        <f>SUM(H103:H110)</f>
        <v>1.1795904636383057</v>
      </c>
      <c r="K111">
        <f>K103+K105+K107+K109</f>
        <v>0.28423976898193359</v>
      </c>
      <c r="M111" t="s">
        <v>18</v>
      </c>
      <c r="N111" t="s">
        <v>10</v>
      </c>
      <c r="O111" t="s">
        <v>11</v>
      </c>
    </row>
    <row r="112" spans="1:15" x14ac:dyDescent="0.45">
      <c r="A112">
        <v>13</v>
      </c>
      <c r="B112">
        <v>1</v>
      </c>
      <c r="E112" s="1">
        <v>1536840339.6128399</v>
      </c>
      <c r="F112" s="1">
        <f t="shared" ref="F112" si="111">G112-E112-0.13</f>
        <v>5.2290077209472652E-2</v>
      </c>
      <c r="G112" s="1">
        <v>1536840339.79513</v>
      </c>
      <c r="H112">
        <f>I112-G112</f>
        <v>0.10620999336242676</v>
      </c>
      <c r="I112" s="1">
        <v>1536840339.90134</v>
      </c>
      <c r="K112">
        <f>I113-I112</f>
        <v>6.1700344085693359E-3</v>
      </c>
      <c r="M112" s="1">
        <f t="shared" ref="M112:M114" si="112">F112+H112</f>
        <v>0.15850007057189941</v>
      </c>
      <c r="N112" s="2">
        <v>169</v>
      </c>
      <c r="O112" s="2" t="s">
        <v>12</v>
      </c>
    </row>
    <row r="113" spans="1:15" x14ac:dyDescent="0.45">
      <c r="B113">
        <v>2</v>
      </c>
      <c r="C113">
        <f>E114-E113</f>
        <v>3.7999153137207031E-3</v>
      </c>
      <c r="E113" s="1">
        <v>1536840339.8959</v>
      </c>
      <c r="F113" s="1">
        <f t="shared" ref="F113" si="113">E113-G113+0.13</f>
        <v>-1.0810012817382808E-2</v>
      </c>
      <c r="G113" s="1">
        <v>1536840340.03671</v>
      </c>
      <c r="H113">
        <f>G113-I113</f>
        <v>0.12919998168945313</v>
      </c>
      <c r="I113" s="1">
        <v>1536840339.90751</v>
      </c>
      <c r="M113" s="1">
        <f t="shared" si="112"/>
        <v>0.11838996887207032</v>
      </c>
      <c r="N113" s="2">
        <v>122</v>
      </c>
      <c r="O113" s="2" t="s">
        <v>13</v>
      </c>
    </row>
    <row r="114" spans="1:15" x14ac:dyDescent="0.45">
      <c r="B114">
        <v>3</v>
      </c>
      <c r="E114" s="1">
        <v>1536840339.8996999</v>
      </c>
      <c r="F114" s="1">
        <f t="shared" ref="F114" si="114">G114-E114-0.13</f>
        <v>4.6069974899291988E-2</v>
      </c>
      <c r="G114" s="1">
        <v>1536840340.0757699</v>
      </c>
      <c r="H114">
        <f>I114-G114</f>
        <v>9.6780061721801758E-2</v>
      </c>
      <c r="I114" s="1">
        <v>1536840340.17255</v>
      </c>
      <c r="K114">
        <f>I115-I114</f>
        <v>6.3339948654174805E-2</v>
      </c>
      <c r="M114" s="1">
        <f t="shared" si="112"/>
        <v>0.14285003662109375</v>
      </c>
      <c r="N114" s="2">
        <v>201</v>
      </c>
      <c r="O114" s="2" t="s">
        <v>12</v>
      </c>
    </row>
    <row r="115" spans="1:15" x14ac:dyDescent="0.45">
      <c r="B115">
        <v>4</v>
      </c>
      <c r="C115">
        <f>E116-E115</f>
        <v>0.15795016288757324</v>
      </c>
      <c r="E115" s="1">
        <v>1536840340.5094199</v>
      </c>
      <c r="F115" s="1">
        <f t="shared" ref="F115" si="115">E115-G115+0.13</f>
        <v>-7.3100280761718706E-3</v>
      </c>
      <c r="G115" s="1">
        <v>1536840340.6467299</v>
      </c>
      <c r="H115">
        <f>G115-I115</f>
        <v>0.41084003448486328</v>
      </c>
      <c r="I115" s="1">
        <v>1536840340.2358899</v>
      </c>
      <c r="M115" s="1">
        <f t="shared" si="82"/>
        <v>0.40353000640869141</v>
      </c>
      <c r="N115" s="2">
        <v>616</v>
      </c>
      <c r="O115" s="2" t="s">
        <v>14</v>
      </c>
    </row>
    <row r="116" spans="1:15" x14ac:dyDescent="0.45">
      <c r="B116">
        <v>5</v>
      </c>
      <c r="E116" s="1">
        <v>1536840340.6673701</v>
      </c>
      <c r="F116" s="1">
        <f t="shared" ref="F116" si="116">G116-E116-0.13</f>
        <v>4.6630020141601558E-2</v>
      </c>
      <c r="G116" s="1">
        <v>1536840340.8440001</v>
      </c>
      <c r="H116">
        <f>I116-G116</f>
        <v>0.27288985252380371</v>
      </c>
      <c r="I116" s="1">
        <v>1536840341.11689</v>
      </c>
      <c r="K116">
        <f>I117-I116</f>
        <v>8.6920022964477539E-2</v>
      </c>
      <c r="M116" s="1">
        <f t="shared" si="82"/>
        <v>0.31951987266540527</v>
      </c>
      <c r="N116" s="2">
        <v>438</v>
      </c>
      <c r="O116" s="2" t="s">
        <v>15</v>
      </c>
    </row>
    <row r="117" spans="1:15" x14ac:dyDescent="0.45">
      <c r="B117">
        <v>6</v>
      </c>
      <c r="C117">
        <f>E118-E117</f>
        <v>3.8900136947631836E-2</v>
      </c>
      <c r="E117" s="1">
        <v>1536840341.2270999</v>
      </c>
      <c r="F117" s="1">
        <f t="shared" ref="F117" si="117">E117-G117+0.13</f>
        <v>3.7029867172241215E-2</v>
      </c>
      <c r="G117" s="1">
        <v>1536840341.32007</v>
      </c>
      <c r="H117">
        <f>G117-I117</f>
        <v>0.11626005172729492</v>
      </c>
      <c r="I117" s="1">
        <v>1536840341.20381</v>
      </c>
      <c r="M117" s="1">
        <f t="shared" si="82"/>
        <v>0.15328991889953614</v>
      </c>
      <c r="N117" s="2">
        <v>129</v>
      </c>
      <c r="O117" s="2" t="s">
        <v>16</v>
      </c>
    </row>
    <row r="118" spans="1:15" x14ac:dyDescent="0.45">
      <c r="B118">
        <v>7</v>
      </c>
      <c r="E118" s="1">
        <v>1536840341.266</v>
      </c>
      <c r="F118" s="1">
        <f t="shared" ref="F118" si="118">G118-E118-0.13</f>
        <v>4.8149938583374019E-2</v>
      </c>
      <c r="G118" s="1">
        <v>1536840341.44415</v>
      </c>
      <c r="H118">
        <f>I118-G118</f>
        <v>1.2160062789916992E-2</v>
      </c>
      <c r="I118" s="1">
        <v>1536840341.45631</v>
      </c>
      <c r="K118">
        <f>I119-I118</f>
        <v>0.13607001304626465</v>
      </c>
      <c r="M118" s="1">
        <f t="shared" si="82"/>
        <v>6.0310001373291011E-2</v>
      </c>
      <c r="N118" s="2">
        <v>113</v>
      </c>
      <c r="O118" s="2" t="s">
        <v>17</v>
      </c>
    </row>
    <row r="119" spans="1:15" x14ac:dyDescent="0.45">
      <c r="B119">
        <v>8</v>
      </c>
      <c r="E119" s="1">
        <v>1536840341.5331099</v>
      </c>
      <c r="F119" s="1">
        <f t="shared" ref="F119" si="119">E119-G119+0.13</f>
        <v>3.1999397277832076E-3</v>
      </c>
      <c r="G119" s="1">
        <v>1536840341.65991</v>
      </c>
      <c r="H119">
        <f>G119-I119</f>
        <v>6.7529916763305664E-2</v>
      </c>
      <c r="I119" s="1">
        <v>1536840341.59238</v>
      </c>
      <c r="M119" s="1">
        <f t="shared" si="82"/>
        <v>7.0729856491088872E-2</v>
      </c>
      <c r="N119" s="2">
        <v>104</v>
      </c>
      <c r="O119" s="2" t="s">
        <v>17</v>
      </c>
    </row>
    <row r="120" spans="1:15" x14ac:dyDescent="0.45">
      <c r="B120" t="s">
        <v>3</v>
      </c>
      <c r="C120">
        <f>C113+C115+C117</f>
        <v>0.20065021514892578</v>
      </c>
      <c r="F120">
        <f t="shared" ref="F120" si="120">SUM(F112:F119)</f>
        <v>0.21524977684020996</v>
      </c>
      <c r="H120">
        <f>SUM(H112:H119)</f>
        <v>1.2118699550628662</v>
      </c>
      <c r="K120">
        <f>K112+K114+K116+K118</f>
        <v>0.29250001907348633</v>
      </c>
      <c r="M120" t="s">
        <v>18</v>
      </c>
      <c r="N120" s="2" t="s">
        <v>10</v>
      </c>
      <c r="O120" s="2" t="s">
        <v>11</v>
      </c>
    </row>
    <row r="121" spans="1:15" x14ac:dyDescent="0.45">
      <c r="A121">
        <v>14</v>
      </c>
      <c r="B121">
        <v>1</v>
      </c>
      <c r="E121" s="1">
        <v>1536840343.8256199</v>
      </c>
      <c r="F121" s="1">
        <f t="shared" ref="F121" si="121">G121-E121-0.13</f>
        <v>5.3390140533447261E-2</v>
      </c>
      <c r="G121" s="1">
        <v>1536840344.0090101</v>
      </c>
      <c r="H121">
        <f>I121-G121</f>
        <v>7.7719926834106445E-2</v>
      </c>
      <c r="I121" s="1">
        <v>1536840344.08673</v>
      </c>
      <c r="K121">
        <f>I122-I121</f>
        <v>6.9398880004882813E-3</v>
      </c>
      <c r="M121" s="1">
        <f t="shared" ref="M121:M123" si="122">F121+H121</f>
        <v>0.13111006736755371</v>
      </c>
      <c r="N121">
        <v>169</v>
      </c>
      <c r="O121" t="s">
        <v>12</v>
      </c>
    </row>
    <row r="122" spans="1:15" x14ac:dyDescent="0.45">
      <c r="B122">
        <v>2</v>
      </c>
      <c r="C122">
        <f>E123-E122</f>
        <v>1.8110036849975586E-2</v>
      </c>
      <c r="E122" s="1">
        <v>1536840344.0931399</v>
      </c>
      <c r="F122" s="1">
        <f t="shared" ref="F122" si="123">E122-G122+0.13</f>
        <v>-9.9002838134765181E-4</v>
      </c>
      <c r="G122" s="1">
        <v>1536840344.2241299</v>
      </c>
      <c r="H122">
        <f>G122-I122</f>
        <v>0.13046002388000488</v>
      </c>
      <c r="I122" s="1">
        <v>1536840344.0936699</v>
      </c>
      <c r="M122" s="1">
        <f t="shared" si="122"/>
        <v>0.12946999549865723</v>
      </c>
      <c r="N122">
        <v>122</v>
      </c>
      <c r="O122" t="s">
        <v>13</v>
      </c>
    </row>
    <row r="123" spans="1:15" x14ac:dyDescent="0.45">
      <c r="B123">
        <v>3</v>
      </c>
      <c r="E123" s="1">
        <v>1536840344.1112499</v>
      </c>
      <c r="F123" s="1">
        <f t="shared" ref="F123" si="124">G123-E123-0.13</f>
        <v>4.9059982299804683E-2</v>
      </c>
      <c r="G123" s="1">
        <v>1536840344.2903099</v>
      </c>
      <c r="H123">
        <f>I123-G123</f>
        <v>0.13511013984680176</v>
      </c>
      <c r="I123" s="1">
        <v>1536840344.42542</v>
      </c>
      <c r="K123">
        <f>I124-I123</f>
        <v>4.7250032424926758E-2</v>
      </c>
      <c r="M123" s="1">
        <f t="shared" si="122"/>
        <v>0.18417012214660644</v>
      </c>
      <c r="N123">
        <v>201</v>
      </c>
      <c r="O123" t="s">
        <v>12</v>
      </c>
    </row>
    <row r="124" spans="1:15" x14ac:dyDescent="0.45">
      <c r="B124">
        <v>4</v>
      </c>
      <c r="C124">
        <f>E125-E124</f>
        <v>0.15381002426147461</v>
      </c>
      <c r="E124" s="1">
        <v>1536840344.70807</v>
      </c>
      <c r="F124" s="1">
        <f t="shared" ref="F124" si="125">E124-G124+0.13</f>
        <v>3.9299774169921919E-3</v>
      </c>
      <c r="G124" s="1">
        <v>1536840344.8341401</v>
      </c>
      <c r="H124">
        <f>G124-I124</f>
        <v>0.36146998405456543</v>
      </c>
      <c r="I124" s="1">
        <v>1536840344.4726701</v>
      </c>
      <c r="M124" s="1">
        <f t="shared" si="82"/>
        <v>0.36539996147155762</v>
      </c>
      <c r="N124">
        <v>616</v>
      </c>
      <c r="O124" t="s">
        <v>14</v>
      </c>
    </row>
    <row r="125" spans="1:15" x14ac:dyDescent="0.45">
      <c r="B125">
        <v>5</v>
      </c>
      <c r="E125" s="1">
        <v>1536840344.8618801</v>
      </c>
      <c r="F125" s="1">
        <f t="shared" ref="F125" si="126">G125-E125-0.13</f>
        <v>4.9430007934570308E-2</v>
      </c>
      <c r="G125" s="1">
        <v>1536840345.0413101</v>
      </c>
      <c r="H125">
        <f>I125-G125</f>
        <v>0.26096987724304199</v>
      </c>
      <c r="I125" s="1">
        <v>1536840345.3022799</v>
      </c>
      <c r="K125">
        <f>I126-I125</f>
        <v>8.9270114898681641E-2</v>
      </c>
      <c r="M125" s="1">
        <f t="shared" si="82"/>
        <v>0.3103998851776123</v>
      </c>
      <c r="N125">
        <v>438</v>
      </c>
      <c r="O125" t="s">
        <v>15</v>
      </c>
    </row>
    <row r="126" spans="1:15" x14ac:dyDescent="0.45">
      <c r="B126">
        <v>6</v>
      </c>
      <c r="C126">
        <f>E127-E126</f>
        <v>3.3910036087036133E-2</v>
      </c>
      <c r="E126" s="1">
        <v>1536840345.37374</v>
      </c>
      <c r="F126" s="1">
        <f t="shared" ref="F126" si="127">E126-G126+0.13</f>
        <v>-3.7299346923828081E-3</v>
      </c>
      <c r="G126" s="1">
        <v>1536840345.5074699</v>
      </c>
      <c r="H126">
        <f>G126-I126</f>
        <v>0.11591982841491699</v>
      </c>
      <c r="I126" s="1">
        <v>1536840345.3915501</v>
      </c>
      <c r="M126" s="1">
        <f t="shared" si="82"/>
        <v>0.11218989372253418</v>
      </c>
      <c r="N126">
        <v>129</v>
      </c>
      <c r="O126" t="s">
        <v>16</v>
      </c>
    </row>
    <row r="127" spans="1:15" x14ac:dyDescent="0.45">
      <c r="B127">
        <v>7</v>
      </c>
      <c r="E127" s="1">
        <v>1536840345.40765</v>
      </c>
      <c r="F127" s="1">
        <f t="shared" ref="F127" si="128">G127-E127-0.13</f>
        <v>4.9140090942382808E-2</v>
      </c>
      <c r="G127" s="1">
        <v>1536840345.5867901</v>
      </c>
      <c r="H127">
        <f>I127-G127</f>
        <v>5.4879903793334961E-2</v>
      </c>
      <c r="I127" s="1">
        <v>1536840345.64167</v>
      </c>
      <c r="K127">
        <f>I128-I127</f>
        <v>0.1361699104309082</v>
      </c>
      <c r="M127" s="1">
        <f t="shared" si="82"/>
        <v>0.10401999473571777</v>
      </c>
      <c r="N127">
        <v>113</v>
      </c>
      <c r="O127" t="s">
        <v>17</v>
      </c>
    </row>
    <row r="128" spans="1:15" x14ac:dyDescent="0.45">
      <c r="B128">
        <v>8</v>
      </c>
      <c r="E128" s="1">
        <v>1536840345.7316201</v>
      </c>
      <c r="F128" s="1">
        <f t="shared" ref="F128" si="129">E128-G128+0.13</f>
        <v>1.4310007095336919E-2</v>
      </c>
      <c r="G128" s="1">
        <v>1536840345.8473101</v>
      </c>
      <c r="H128">
        <f>G128-I128</f>
        <v>6.947016716003418E-2</v>
      </c>
      <c r="I128" s="1">
        <v>1536840345.7778399</v>
      </c>
      <c r="M128" s="1">
        <f t="shared" si="82"/>
        <v>8.3780174255371098E-2</v>
      </c>
      <c r="N128">
        <v>104</v>
      </c>
      <c r="O128" t="s">
        <v>17</v>
      </c>
    </row>
    <row r="129" spans="1:15" x14ac:dyDescent="0.45">
      <c r="B129" t="s">
        <v>3</v>
      </c>
      <c r="C129">
        <f>C122+C124+C126</f>
        <v>0.20583009719848633</v>
      </c>
      <c r="F129">
        <f t="shared" ref="F129" si="130">SUM(F121:F128)</f>
        <v>0.21454024314880371</v>
      </c>
      <c r="H129">
        <f>SUM(H121:H128)</f>
        <v>1.2059998512268066</v>
      </c>
      <c r="K129">
        <f>K121+K123+K125+K127</f>
        <v>0.27962994575500488</v>
      </c>
      <c r="M129" t="s">
        <v>18</v>
      </c>
      <c r="N129" t="s">
        <v>10</v>
      </c>
      <c r="O129" t="s">
        <v>11</v>
      </c>
    </row>
    <row r="130" spans="1:15" x14ac:dyDescent="0.45">
      <c r="A130">
        <v>15</v>
      </c>
      <c r="B130">
        <v>1</v>
      </c>
      <c r="E130" s="1">
        <v>1536840348.35309</v>
      </c>
      <c r="F130" s="1">
        <f t="shared" ref="F130" si="131">G130-E130-0.13</f>
        <v>5.6079978942871089E-2</v>
      </c>
      <c r="G130" s="1">
        <v>1536840348.53917</v>
      </c>
      <c r="H130">
        <f>I130-G130</f>
        <v>7.0469856262207031E-2</v>
      </c>
      <c r="I130" s="1">
        <v>1536840348.6096399</v>
      </c>
      <c r="K130">
        <f>I131-I130</f>
        <v>6.130218505859375E-3</v>
      </c>
      <c r="M130" s="1">
        <f t="shared" ref="M130:M132" si="132">F130+H130</f>
        <v>0.12654983520507812</v>
      </c>
      <c r="N130" s="2">
        <v>169</v>
      </c>
      <c r="O130" s="2" t="s">
        <v>12</v>
      </c>
    </row>
    <row r="131" spans="1:15" x14ac:dyDescent="0.45">
      <c r="B131">
        <v>2</v>
      </c>
      <c r="C131">
        <f>E132-E131</f>
        <v>9.5899105072021484E-3</v>
      </c>
      <c r="E131" s="1">
        <v>1536840348.60061</v>
      </c>
      <c r="F131" s="1">
        <f t="shared" ref="F131" si="133">E131-G131+0.13</f>
        <v>-1.8560047149658199E-2</v>
      </c>
      <c r="G131" s="1">
        <v>1536840348.7491701</v>
      </c>
      <c r="H131">
        <f>G131-I131</f>
        <v>0.13339996337890625</v>
      </c>
      <c r="I131" s="1">
        <v>1536840348.6157701</v>
      </c>
      <c r="M131" s="1">
        <f t="shared" si="132"/>
        <v>0.11483991622924805</v>
      </c>
      <c r="N131" s="2">
        <v>122</v>
      </c>
      <c r="O131" s="2" t="s">
        <v>13</v>
      </c>
    </row>
    <row r="132" spans="1:15" x14ac:dyDescent="0.45">
      <c r="B132">
        <v>3</v>
      </c>
      <c r="E132" s="1">
        <v>1536840348.6101999</v>
      </c>
      <c r="F132" s="1">
        <f t="shared" ref="F132" si="134">G132-E132-0.13</f>
        <v>5.1020021438598628E-2</v>
      </c>
      <c r="G132" s="1">
        <v>1536840348.7912199</v>
      </c>
      <c r="H132">
        <f>I132-G132</f>
        <v>8.9590072631835938E-2</v>
      </c>
      <c r="I132" s="1">
        <v>1536840348.88081</v>
      </c>
      <c r="K132">
        <f>I133-I132</f>
        <v>4.6760082244873047E-2</v>
      </c>
      <c r="M132" s="1">
        <f t="shared" si="132"/>
        <v>0.14061009407043457</v>
      </c>
      <c r="N132" s="2">
        <v>201</v>
      </c>
      <c r="O132" s="2" t="s">
        <v>12</v>
      </c>
    </row>
    <row r="133" spans="1:15" x14ac:dyDescent="0.45">
      <c r="B133">
        <v>4</v>
      </c>
      <c r="C133">
        <f>E134-E133</f>
        <v>0.16157984733581543</v>
      </c>
      <c r="E133" s="1">
        <v>1536840349.2131801</v>
      </c>
      <c r="F133" s="1">
        <f t="shared" ref="F133" si="135">E133-G133+0.13</f>
        <v>5.1530008316040044E-2</v>
      </c>
      <c r="G133" s="1">
        <v>1536840349.2916501</v>
      </c>
      <c r="H133">
        <f>G133-I133</f>
        <v>0.36407995223999023</v>
      </c>
      <c r="I133" s="1">
        <v>1536840348.9275701</v>
      </c>
      <c r="M133" s="1">
        <f t="shared" si="82"/>
        <v>0.41560996055603028</v>
      </c>
      <c r="N133" s="2">
        <v>616</v>
      </c>
      <c r="O133" s="2" t="s">
        <v>14</v>
      </c>
    </row>
    <row r="134" spans="1:15" x14ac:dyDescent="0.45">
      <c r="B134">
        <v>5</v>
      </c>
      <c r="E134" s="1">
        <v>1536840349.3747599</v>
      </c>
      <c r="F134" s="1">
        <f t="shared" ref="F134" si="136">G134-E134-0.13</f>
        <v>5.1529998779296871E-2</v>
      </c>
      <c r="G134" s="1">
        <v>1536840349.5562899</v>
      </c>
      <c r="H134">
        <f>I134-G134</f>
        <v>0.26888012886047363</v>
      </c>
      <c r="I134" s="1">
        <v>1536840349.82517</v>
      </c>
      <c r="K134">
        <f>I135-I134</f>
        <v>9.179997444152832E-2</v>
      </c>
      <c r="M134" s="1">
        <f t="shared" si="82"/>
        <v>0.3204101276397705</v>
      </c>
      <c r="N134" s="2">
        <v>438</v>
      </c>
      <c r="O134" s="2" t="s">
        <v>15</v>
      </c>
    </row>
    <row r="135" spans="1:15" x14ac:dyDescent="0.45">
      <c r="B135">
        <v>6</v>
      </c>
      <c r="C135">
        <f>E136-E135</f>
        <v>5.6349992752075195E-2</v>
      </c>
      <c r="E135" s="1">
        <v>1536840349.93063</v>
      </c>
      <c r="F135" s="1">
        <f t="shared" ref="F135" si="137">E135-G135+0.13</f>
        <v>2.8109912872314458E-2</v>
      </c>
      <c r="G135" s="1">
        <v>1536840350.0325201</v>
      </c>
      <c r="H135">
        <f>G135-I135</f>
        <v>0.11555004119873047</v>
      </c>
      <c r="I135" s="1">
        <v>1536840349.91697</v>
      </c>
      <c r="M135" s="1">
        <f t="shared" si="82"/>
        <v>0.14365995407104493</v>
      </c>
      <c r="N135" s="2">
        <v>129</v>
      </c>
      <c r="O135" s="2" t="s">
        <v>16</v>
      </c>
    </row>
    <row r="136" spans="1:15" x14ac:dyDescent="0.45">
      <c r="B136">
        <v>7</v>
      </c>
      <c r="E136" s="1">
        <v>1536840349.98698</v>
      </c>
      <c r="F136" s="1">
        <f t="shared" ref="F136" si="138">G136-E136-0.13</f>
        <v>5.2320117950439449E-2</v>
      </c>
      <c r="G136" s="1">
        <v>1536840350.1693001</v>
      </c>
      <c r="H136">
        <f>I136-G136</f>
        <v>6.2819957733154297E-2</v>
      </c>
      <c r="I136" s="1">
        <v>1536840350.23212</v>
      </c>
      <c r="K136">
        <f>I137-I136</f>
        <v>0.18989992141723633</v>
      </c>
      <c r="M136" s="1">
        <f t="shared" si="82"/>
        <v>0.11514007568359375</v>
      </c>
      <c r="N136" s="2">
        <v>113</v>
      </c>
      <c r="O136" s="2" t="s">
        <v>17</v>
      </c>
    </row>
    <row r="137" spans="1:15" x14ac:dyDescent="0.45">
      <c r="B137">
        <v>8</v>
      </c>
      <c r="E137" s="1">
        <v>1536840350.33954</v>
      </c>
      <c r="F137" s="1">
        <f t="shared" ref="F137" si="139">E137-G137+0.13</f>
        <v>2.963006973266602E-2</v>
      </c>
      <c r="G137" s="1">
        <v>1536840350.4399099</v>
      </c>
      <c r="H137">
        <f>G137-I137</f>
        <v>1.7889976501464844E-2</v>
      </c>
      <c r="I137" s="1">
        <v>1536840350.42202</v>
      </c>
      <c r="M137" s="1">
        <f t="shared" si="82"/>
        <v>4.7520046234130864E-2</v>
      </c>
      <c r="N137" s="2">
        <v>104</v>
      </c>
      <c r="O137" s="2" t="s">
        <v>17</v>
      </c>
    </row>
    <row r="138" spans="1:15" x14ac:dyDescent="0.45">
      <c r="B138" t="s">
        <v>3</v>
      </c>
      <c r="C138">
        <f>C131+C133+C135</f>
        <v>0.22751975059509277</v>
      </c>
      <c r="F138">
        <f t="shared" ref="F138" si="140">SUM(F130:F137)</f>
        <v>0.30166006088256836</v>
      </c>
      <c r="H138">
        <f>SUM(H130:H137)</f>
        <v>1.1226799488067627</v>
      </c>
      <c r="K138">
        <f>K130+K132+K134+K136</f>
        <v>0.33459019660949707</v>
      </c>
      <c r="M138" t="s">
        <v>18</v>
      </c>
      <c r="N138" s="2" t="s">
        <v>10</v>
      </c>
      <c r="O138" s="2" t="s">
        <v>11</v>
      </c>
    </row>
    <row r="139" spans="1:15" x14ac:dyDescent="0.45">
      <c r="A139">
        <v>16</v>
      </c>
      <c r="B139">
        <v>1</v>
      </c>
      <c r="E139" s="1">
        <v>1536840352.30776</v>
      </c>
      <c r="F139" s="1">
        <f t="shared" ref="F139" si="141">G139-E139-0.13</f>
        <v>6.1489934921264644E-2</v>
      </c>
      <c r="G139" s="1">
        <v>1536840352.4992499</v>
      </c>
      <c r="H139">
        <f>I139-G139</f>
        <v>9.3230009078979492E-2</v>
      </c>
      <c r="I139" s="1">
        <v>1536840352.5924799</v>
      </c>
      <c r="K139">
        <f>I140-I139</f>
        <v>6.1800479888916016E-3</v>
      </c>
      <c r="M139" s="1">
        <f t="shared" ref="M139:M141" si="142">F139+H139</f>
        <v>0.15471994400024414</v>
      </c>
      <c r="N139">
        <v>169</v>
      </c>
      <c r="O139" t="s">
        <v>12</v>
      </c>
    </row>
    <row r="140" spans="1:15" x14ac:dyDescent="0.45">
      <c r="B140">
        <v>2</v>
      </c>
      <c r="C140">
        <f>E141-E140</f>
        <v>2.0859956741333008E-2</v>
      </c>
      <c r="E140" s="1">
        <v>1536840352.59236</v>
      </c>
      <c r="F140" s="1">
        <f t="shared" ref="F140" si="143">E140-G140+0.13</f>
        <v>-1.1560077667236324E-2</v>
      </c>
      <c r="G140" s="1">
        <v>1536840352.7339201</v>
      </c>
      <c r="H140">
        <f>G140-I140</f>
        <v>0.13526010513305664</v>
      </c>
      <c r="I140" s="1">
        <v>1536840352.59866</v>
      </c>
      <c r="M140" s="1">
        <f t="shared" si="142"/>
        <v>0.12370002746582032</v>
      </c>
      <c r="N140">
        <v>122</v>
      </c>
      <c r="O140" t="s">
        <v>13</v>
      </c>
    </row>
    <row r="141" spans="1:15" x14ac:dyDescent="0.45">
      <c r="B141">
        <v>3</v>
      </c>
      <c r="E141" s="1">
        <v>1536840352.61322</v>
      </c>
      <c r="F141" s="1">
        <f t="shared" ref="F141" si="144">G141-E141-0.13</f>
        <v>5.3300018310546871E-2</v>
      </c>
      <c r="G141" s="1">
        <v>1536840352.79652</v>
      </c>
      <c r="H141">
        <f>I141-G141</f>
        <v>6.7140102386474609E-2</v>
      </c>
      <c r="I141" s="1">
        <v>1536840352.8636601</v>
      </c>
      <c r="K141">
        <f>I142-I141</f>
        <v>4.9139976501464844E-2</v>
      </c>
      <c r="M141" s="1">
        <f t="shared" si="142"/>
        <v>0.12044012069702148</v>
      </c>
      <c r="N141">
        <v>201</v>
      </c>
      <c r="O141" t="s">
        <v>12</v>
      </c>
    </row>
    <row r="142" spans="1:15" x14ac:dyDescent="0.45">
      <c r="B142">
        <v>4</v>
      </c>
      <c r="C142">
        <f>E143-E142</f>
        <v>0.16991996765136719</v>
      </c>
      <c r="E142" s="1">
        <v>1536840353.20925</v>
      </c>
      <c r="F142" s="1">
        <f t="shared" ref="F142" si="145">E142-G142+0.13</f>
        <v>-3.9700222015380815E-3</v>
      </c>
      <c r="G142" s="1">
        <v>1536840353.34322</v>
      </c>
      <c r="H142">
        <f>G142-I142</f>
        <v>0.430419921875</v>
      </c>
      <c r="I142" s="1">
        <v>1536840352.9128001</v>
      </c>
      <c r="M142" s="1">
        <f t="shared" si="82"/>
        <v>0.42644989967346192</v>
      </c>
      <c r="N142">
        <v>616</v>
      </c>
      <c r="O142" t="s">
        <v>14</v>
      </c>
    </row>
    <row r="143" spans="1:15" x14ac:dyDescent="0.45">
      <c r="B143">
        <v>5</v>
      </c>
      <c r="E143" s="1">
        <v>1536840353.3791699</v>
      </c>
      <c r="F143" s="1">
        <f t="shared" ref="F143" si="146">G143-E143-0.13</f>
        <v>5.5080051422119136E-2</v>
      </c>
      <c r="G143" s="1">
        <v>1536840353.56425</v>
      </c>
      <c r="H143">
        <f>I143-G143</f>
        <v>0.24374008178710938</v>
      </c>
      <c r="I143" s="1">
        <v>1536840353.8079901</v>
      </c>
      <c r="K143">
        <f>I144-I143</f>
        <v>8.4349870681762695E-2</v>
      </c>
      <c r="M143" s="1">
        <f t="shared" si="82"/>
        <v>0.29882013320922851</v>
      </c>
      <c r="N143">
        <v>438</v>
      </c>
      <c r="O143" t="s">
        <v>15</v>
      </c>
    </row>
    <row r="144" spans="1:15" x14ac:dyDescent="0.45">
      <c r="B144">
        <v>6</v>
      </c>
      <c r="C144">
        <f>E145-E144</f>
        <v>5.15899658203125E-2</v>
      </c>
      <c r="E144" s="1">
        <v>1536840353.9249401</v>
      </c>
      <c r="F144" s="1">
        <f t="shared" ref="F144" si="147">E144-G144+0.13</f>
        <v>3.7700061798095708E-2</v>
      </c>
      <c r="G144" s="1">
        <v>1536840354.01724</v>
      </c>
      <c r="H144">
        <f>G144-I144</f>
        <v>0.12490010261535645</v>
      </c>
      <c r="I144" s="1">
        <v>1536840353.8923399</v>
      </c>
      <c r="M144" s="1">
        <f t="shared" si="82"/>
        <v>0.16260016441345215</v>
      </c>
      <c r="N144">
        <v>129</v>
      </c>
      <c r="O144" t="s">
        <v>16</v>
      </c>
    </row>
    <row r="145" spans="1:15" x14ac:dyDescent="0.45">
      <c r="B145">
        <v>7</v>
      </c>
      <c r="E145" s="1">
        <v>1536840353.9765301</v>
      </c>
      <c r="F145" s="1">
        <f t="shared" ref="F145" si="148">G145-E145-0.13</f>
        <v>5.4319972991943355E-2</v>
      </c>
      <c r="G145" s="1">
        <v>1536840354.16085</v>
      </c>
      <c r="H145">
        <f>I145-G145</f>
        <v>5.4069995880126953E-2</v>
      </c>
      <c r="I145" s="1">
        <v>1536840354.21492</v>
      </c>
      <c r="K145">
        <f>I146-I145</f>
        <v>0.13573002815246582</v>
      </c>
      <c r="M145" s="1">
        <f t="shared" si="82"/>
        <v>0.10838996887207031</v>
      </c>
      <c r="N145">
        <v>113</v>
      </c>
      <c r="O145" t="s">
        <v>17</v>
      </c>
    </row>
    <row r="146" spans="1:15" x14ac:dyDescent="0.45">
      <c r="B146">
        <v>8</v>
      </c>
      <c r="E146" s="1">
        <v>1536840354.3334401</v>
      </c>
      <c r="F146" s="1">
        <f t="shared" ref="F146" si="149">E146-G146+0.13</f>
        <v>3.8820152282714848E-2</v>
      </c>
      <c r="G146" s="1">
        <v>1536840354.4246199</v>
      </c>
      <c r="H146">
        <f>G146-I146</f>
        <v>7.3969841003417969E-2</v>
      </c>
      <c r="I146" s="1">
        <v>1536840354.3506501</v>
      </c>
      <c r="M146" s="1">
        <f t="shared" si="82"/>
        <v>0.11278999328613282</v>
      </c>
      <c r="N146">
        <v>104</v>
      </c>
      <c r="O146" t="s">
        <v>17</v>
      </c>
    </row>
    <row r="147" spans="1:15" x14ac:dyDescent="0.45">
      <c r="B147" t="s">
        <v>3</v>
      </c>
      <c r="C147">
        <f>C140+C142+C144</f>
        <v>0.2423698902130127</v>
      </c>
      <c r="F147">
        <f t="shared" ref="F147" si="150">SUM(F139:F146)</f>
        <v>0.28518009185791016</v>
      </c>
      <c r="H147">
        <f>SUM(H139:H146)</f>
        <v>1.2227301597595215</v>
      </c>
      <c r="K147">
        <f>K139+K141+K143+K145</f>
        <v>0.27539992332458496</v>
      </c>
      <c r="M147" t="s">
        <v>18</v>
      </c>
      <c r="N147" t="s">
        <v>10</v>
      </c>
      <c r="O147" t="s">
        <v>11</v>
      </c>
    </row>
    <row r="148" spans="1:15" x14ac:dyDescent="0.45">
      <c r="A148">
        <v>17</v>
      </c>
      <c r="B148">
        <v>1</v>
      </c>
      <c r="E148" s="1">
        <v>1536840356.6287701</v>
      </c>
      <c r="F148" s="1">
        <f t="shared" ref="F148" si="151">G148-E148-0.13</f>
        <v>6.1419839859008785E-2</v>
      </c>
      <c r="G148" s="1">
        <v>1536840356.82019</v>
      </c>
      <c r="H148">
        <f>I148-G148</f>
        <v>9.2669963836669922E-2</v>
      </c>
      <c r="I148" s="1">
        <v>1536840356.9128599</v>
      </c>
      <c r="K148">
        <f>I149-I148</f>
        <v>9.3300342559814453E-3</v>
      </c>
      <c r="M148" s="1">
        <f t="shared" ref="M148:M209" si="152">F148+H148</f>
        <v>0.15408980369567871</v>
      </c>
      <c r="N148" s="2">
        <v>169</v>
      </c>
      <c r="O148" s="2" t="s">
        <v>12</v>
      </c>
    </row>
    <row r="149" spans="1:15" x14ac:dyDescent="0.45">
      <c r="B149">
        <v>2</v>
      </c>
      <c r="C149">
        <f>E150-E149</f>
        <v>2.4320125579833984E-2</v>
      </c>
      <c r="E149" s="1">
        <v>1536840356.89448</v>
      </c>
      <c r="F149" s="1">
        <f t="shared" ref="F149" si="153">E149-G149+0.13</f>
        <v>-3.2489891052246089E-2</v>
      </c>
      <c r="G149" s="1">
        <v>1536840357.0569699</v>
      </c>
      <c r="H149">
        <f>G149-I149</f>
        <v>0.13477993011474609</v>
      </c>
      <c r="I149" s="1">
        <v>1536840356.92219</v>
      </c>
      <c r="M149" s="1">
        <f t="shared" si="152"/>
        <v>0.1022900390625</v>
      </c>
      <c r="N149" s="2">
        <v>122</v>
      </c>
      <c r="O149" s="2" t="s">
        <v>13</v>
      </c>
    </row>
    <row r="150" spans="1:15" x14ac:dyDescent="0.45">
      <c r="B150">
        <v>3</v>
      </c>
      <c r="E150" s="1">
        <v>1536840356.9188001</v>
      </c>
      <c r="F150" s="1">
        <f t="shared" ref="F150" si="154">G150-E150-0.13</f>
        <v>5.5649871826171871E-2</v>
      </c>
      <c r="G150" s="1">
        <v>1536840357.10445</v>
      </c>
      <c r="H150">
        <f>I150-G150</f>
        <v>7.9580068588256836E-2</v>
      </c>
      <c r="I150" s="1">
        <v>1536840357.1840301</v>
      </c>
      <c r="K150">
        <f>I151-I150</f>
        <v>5.3740024566650391E-2</v>
      </c>
      <c r="M150" s="1">
        <f t="shared" si="152"/>
        <v>0.13522994041442871</v>
      </c>
      <c r="N150" s="2">
        <v>201</v>
      </c>
      <c r="O150" s="2" t="s">
        <v>12</v>
      </c>
    </row>
    <row r="151" spans="1:15" x14ac:dyDescent="0.45">
      <c r="B151">
        <v>4</v>
      </c>
      <c r="C151">
        <f>E152-E151</f>
        <v>0.16785001754760742</v>
      </c>
      <c r="E151" s="1">
        <v>1536840357.50828</v>
      </c>
      <c r="F151" s="1">
        <f t="shared" ref="F151" si="155">E151-G151+0.13</f>
        <v>3.951013565063477E-2</v>
      </c>
      <c r="G151" s="1">
        <v>1536840357.5987699</v>
      </c>
      <c r="H151">
        <f>G151-I151</f>
        <v>0.36099982261657715</v>
      </c>
      <c r="I151" s="1">
        <v>1536840357.2377701</v>
      </c>
      <c r="M151" s="1">
        <f t="shared" si="152"/>
        <v>0.40050995826721192</v>
      </c>
      <c r="N151" s="2">
        <v>616</v>
      </c>
      <c r="O151" s="2" t="s">
        <v>14</v>
      </c>
    </row>
    <row r="152" spans="1:15" x14ac:dyDescent="0.45">
      <c r="B152">
        <v>5</v>
      </c>
      <c r="E152" s="1">
        <v>1536840357.6761301</v>
      </c>
      <c r="F152" s="1">
        <f t="shared" ref="F152" si="156">G152-E152-0.13</f>
        <v>5.6079978942871089E-2</v>
      </c>
      <c r="G152" s="1">
        <v>1536840357.86221</v>
      </c>
      <c r="H152">
        <f>I152-G152</f>
        <v>0.1986699104309082</v>
      </c>
      <c r="I152" s="1">
        <v>1536840358.0608799</v>
      </c>
      <c r="K152">
        <f>I153-I152</f>
        <v>9.7800016403198242E-2</v>
      </c>
      <c r="M152" s="1">
        <f t="shared" si="152"/>
        <v>0.25474988937377929</v>
      </c>
      <c r="N152" s="2">
        <v>438</v>
      </c>
      <c r="O152" s="2" t="s">
        <v>15</v>
      </c>
    </row>
    <row r="153" spans="1:15" x14ac:dyDescent="0.45">
      <c r="B153">
        <v>6</v>
      </c>
      <c r="C153">
        <f>E154-E153</f>
        <v>4.2479991912841797E-2</v>
      </c>
      <c r="E153" s="1">
        <v>1536840358.1240699</v>
      </c>
      <c r="F153" s="1">
        <f t="shared" ref="F153" si="157">E153-G153+0.13</f>
        <v>-1.8010015487670894E-2</v>
      </c>
      <c r="G153" s="1">
        <v>1536840358.2720799</v>
      </c>
      <c r="H153">
        <f>G153-I153</f>
        <v>0.11339998245239258</v>
      </c>
      <c r="I153" s="1">
        <v>1536840358.15868</v>
      </c>
      <c r="M153" s="1">
        <f t="shared" si="152"/>
        <v>9.5389966964721684E-2</v>
      </c>
      <c r="N153" s="2">
        <v>129</v>
      </c>
      <c r="O153" s="2" t="s">
        <v>16</v>
      </c>
    </row>
    <row r="154" spans="1:15" x14ac:dyDescent="0.45">
      <c r="B154">
        <v>7</v>
      </c>
      <c r="E154" s="1">
        <v>1536840358.1665499</v>
      </c>
      <c r="F154" s="1">
        <f t="shared" ref="F154" si="158">G154-E154-0.13</f>
        <v>5.6320066452026363E-2</v>
      </c>
      <c r="G154" s="1">
        <v>1536840358.35287</v>
      </c>
      <c r="H154">
        <f>I154-G154</f>
        <v>4.7410011291503906E-2</v>
      </c>
      <c r="I154" s="1">
        <v>1536840358.40028</v>
      </c>
      <c r="K154">
        <f>I155-I154</f>
        <v>0.1362299919128418</v>
      </c>
      <c r="M154" s="1">
        <f t="shared" si="152"/>
        <v>0.10373007774353027</v>
      </c>
      <c r="N154" s="2">
        <v>113</v>
      </c>
      <c r="O154" s="2" t="s">
        <v>17</v>
      </c>
    </row>
    <row r="155" spans="1:15" x14ac:dyDescent="0.45">
      <c r="B155">
        <v>8</v>
      </c>
      <c r="E155" s="1">
        <v>1536840358.5334899</v>
      </c>
      <c r="F155" s="1">
        <f t="shared" ref="F155" si="159">E155-G155+0.13</f>
        <v>5.1569824218750004E-2</v>
      </c>
      <c r="G155" s="1">
        <v>1536840358.6119201</v>
      </c>
      <c r="H155">
        <f>G155-I155</f>
        <v>7.5410127639770508E-2</v>
      </c>
      <c r="I155" s="1">
        <v>1536840358.53651</v>
      </c>
      <c r="M155" s="1">
        <f t="shared" si="152"/>
        <v>0.12697995185852051</v>
      </c>
      <c r="N155" s="2">
        <v>104</v>
      </c>
      <c r="O155" s="2" t="s">
        <v>17</v>
      </c>
    </row>
    <row r="156" spans="1:15" x14ac:dyDescent="0.45">
      <c r="B156" t="s">
        <v>3</v>
      </c>
      <c r="C156">
        <f>C149+C151+C153</f>
        <v>0.2346501350402832</v>
      </c>
      <c r="F156">
        <f t="shared" ref="F156" si="160">SUM(F148:F155)</f>
        <v>0.2700498104095459</v>
      </c>
      <c r="H156">
        <f>SUM(H148:H155)</f>
        <v>1.1029198169708252</v>
      </c>
      <c r="K156">
        <f>K148+K150+K152+K154</f>
        <v>0.29710006713867188</v>
      </c>
      <c r="M156" t="s">
        <v>18</v>
      </c>
      <c r="N156" s="2" t="s">
        <v>10</v>
      </c>
      <c r="O156" s="2" t="s">
        <v>11</v>
      </c>
    </row>
    <row r="157" spans="1:15" x14ac:dyDescent="0.45">
      <c r="A157">
        <v>18</v>
      </c>
      <c r="B157">
        <v>1</v>
      </c>
      <c r="E157" s="1">
        <v>1536840360.0989299</v>
      </c>
      <c r="F157" s="1">
        <f t="shared" ref="F157" si="161">G157-E157-0.13</f>
        <v>6.3320035934448238E-2</v>
      </c>
      <c r="G157" s="1">
        <v>1536840360.2922499</v>
      </c>
      <c r="H157">
        <f>I157-G157</f>
        <v>6.3390016555786133E-2</v>
      </c>
      <c r="I157" s="1">
        <v>1536840360.3556399</v>
      </c>
      <c r="K157">
        <f>I158-I157</f>
        <v>6.4699649810791016E-3</v>
      </c>
      <c r="M157" s="1">
        <f t="shared" ref="M157:M159" si="162">F157+H157</f>
        <v>0.12671005249023437</v>
      </c>
      <c r="N157">
        <v>169</v>
      </c>
      <c r="O157" t="s">
        <v>12</v>
      </c>
    </row>
    <row r="158" spans="1:15" x14ac:dyDescent="0.45">
      <c r="B158">
        <v>2</v>
      </c>
      <c r="C158">
        <f>E159-E158</f>
        <v>2.0009994506835938E-2</v>
      </c>
      <c r="E158" s="1">
        <v>1536840360.37515</v>
      </c>
      <c r="F158" s="1">
        <f t="shared" ref="F158" si="163">E158-G158+0.13</f>
        <v>4.4800090789794966E-3</v>
      </c>
      <c r="G158" s="1">
        <v>1536840360.50067</v>
      </c>
      <c r="H158">
        <f>G158-I158</f>
        <v>0.13856005668640137</v>
      </c>
      <c r="I158" s="1">
        <v>1536840360.3621099</v>
      </c>
      <c r="M158" s="1">
        <f t="shared" si="162"/>
        <v>0.14304006576538086</v>
      </c>
      <c r="N158">
        <v>122</v>
      </c>
      <c r="O158" t="s">
        <v>13</v>
      </c>
    </row>
    <row r="159" spans="1:15" x14ac:dyDescent="0.45">
      <c r="B159">
        <v>3</v>
      </c>
      <c r="E159" s="1">
        <v>1536840360.39516</v>
      </c>
      <c r="F159" s="1">
        <f t="shared" ref="F159" si="164">G159-E159-0.13</f>
        <v>5.7960147857666011E-2</v>
      </c>
      <c r="G159" s="1">
        <v>1536840360.5831201</v>
      </c>
      <c r="H159">
        <f>I159-G159</f>
        <v>0.11121988296508789</v>
      </c>
      <c r="I159" s="1">
        <v>1536840360.69434</v>
      </c>
      <c r="K159">
        <f>I160-I159</f>
        <v>6.3430070877075195E-2</v>
      </c>
      <c r="M159" s="1">
        <f t="shared" si="162"/>
        <v>0.1691800308227539</v>
      </c>
      <c r="N159">
        <v>201</v>
      </c>
      <c r="O159" t="s">
        <v>12</v>
      </c>
    </row>
    <row r="160" spans="1:15" x14ac:dyDescent="0.45">
      <c r="B160">
        <v>4</v>
      </c>
      <c r="C160">
        <f>E161-E160</f>
        <v>0.16084003448486328</v>
      </c>
      <c r="E160" s="1">
        <v>1536840361.0938799</v>
      </c>
      <c r="F160" s="1">
        <f t="shared" ref="F160" si="165">E160-G160+0.13</f>
        <v>4.5659904479980473E-2</v>
      </c>
      <c r="G160" s="1">
        <v>1536840361.17822</v>
      </c>
      <c r="H160">
        <f>G160-I160</f>
        <v>0.42044997215270996</v>
      </c>
      <c r="I160" s="1">
        <v>1536840360.7577701</v>
      </c>
      <c r="M160" s="1">
        <f t="shared" si="152"/>
        <v>0.46610987663269043</v>
      </c>
      <c r="N160">
        <v>616</v>
      </c>
      <c r="O160" t="s">
        <v>14</v>
      </c>
    </row>
    <row r="161" spans="1:15" x14ac:dyDescent="0.45">
      <c r="B161">
        <v>5</v>
      </c>
      <c r="E161" s="1">
        <v>1536840361.25472</v>
      </c>
      <c r="F161" s="1">
        <f t="shared" ref="F161" si="166">G161-E161-0.13</f>
        <v>6.3409919738769527E-2</v>
      </c>
      <c r="G161" s="1">
        <v>1536840361.4481299</v>
      </c>
      <c r="H161">
        <f>I161-G161</f>
        <v>0.25805020332336426</v>
      </c>
      <c r="I161" s="1">
        <v>1536840361.7061801</v>
      </c>
      <c r="K161">
        <f>I162-I161</f>
        <v>9.1569900512695313E-2</v>
      </c>
      <c r="M161" s="1">
        <f t="shared" si="152"/>
        <v>0.32146012306213378</v>
      </c>
      <c r="N161">
        <v>438</v>
      </c>
      <c r="O161" t="s">
        <v>15</v>
      </c>
    </row>
    <row r="162" spans="1:15" x14ac:dyDescent="0.45">
      <c r="B162">
        <v>6</v>
      </c>
      <c r="C162">
        <f>E163-E162</f>
        <v>4.5009851455688477E-2</v>
      </c>
      <c r="E162" s="1">
        <v>1536840361.80885</v>
      </c>
      <c r="F162" s="1">
        <f t="shared" ref="F162" si="167">E162-G162+0.13</f>
        <v>1.9780044555664067E-2</v>
      </c>
      <c r="G162" s="1">
        <v>1536840361.91907</v>
      </c>
      <c r="H162">
        <f>G162-I162</f>
        <v>0.12132000923156738</v>
      </c>
      <c r="I162" s="1">
        <v>1536840361.79775</v>
      </c>
      <c r="M162" s="1">
        <f t="shared" si="152"/>
        <v>0.14110005378723145</v>
      </c>
      <c r="N162">
        <v>129</v>
      </c>
      <c r="O162" t="s">
        <v>16</v>
      </c>
    </row>
    <row r="163" spans="1:15" x14ac:dyDescent="0.45">
      <c r="B163">
        <v>7</v>
      </c>
      <c r="E163" s="1">
        <v>1536840361.8538599</v>
      </c>
      <c r="F163" s="1">
        <f t="shared" ref="F163" si="168">G163-E163-0.13</f>
        <v>5.8600063323974605E-2</v>
      </c>
      <c r="G163" s="1">
        <v>1536840362.04246</v>
      </c>
      <c r="H163">
        <f>I163-G163</f>
        <v>3.1399726867675781E-3</v>
      </c>
      <c r="I163" s="1">
        <v>1536840362.0455999</v>
      </c>
      <c r="K163">
        <f>I164-I163</f>
        <v>0.13582015037536621</v>
      </c>
      <c r="M163" s="1">
        <f t="shared" si="152"/>
        <v>6.1740036010742183E-2</v>
      </c>
      <c r="N163">
        <v>113</v>
      </c>
      <c r="O163" t="s">
        <v>17</v>
      </c>
    </row>
    <row r="164" spans="1:15" x14ac:dyDescent="0.45">
      <c r="B164">
        <v>8</v>
      </c>
      <c r="E164" s="1">
        <v>1536840362.1161399</v>
      </c>
      <c r="F164" s="1">
        <f t="shared" ref="F164" si="169">E164-G164+0.13</f>
        <v>-1.2760038375854488E-2</v>
      </c>
      <c r="G164" s="1">
        <v>1536840362.2588999</v>
      </c>
      <c r="H164">
        <f>G164-I164</f>
        <v>7.7479839324951172E-2</v>
      </c>
      <c r="I164" s="1">
        <v>1536840362.1814201</v>
      </c>
      <c r="M164" s="1">
        <f t="shared" si="152"/>
        <v>6.4719800949096684E-2</v>
      </c>
      <c r="N164">
        <v>104</v>
      </c>
      <c r="O164" t="s">
        <v>17</v>
      </c>
    </row>
    <row r="165" spans="1:15" x14ac:dyDescent="0.45">
      <c r="B165" t="s">
        <v>3</v>
      </c>
      <c r="C165">
        <f>C158+C160+C162</f>
        <v>0.2258598804473877</v>
      </c>
      <c r="F165">
        <f t="shared" ref="F165" si="170">SUM(F157:F164)</f>
        <v>0.30045008659362793</v>
      </c>
      <c r="H165">
        <f>SUM(H157:H164)</f>
        <v>1.1936099529266357</v>
      </c>
      <c r="K165">
        <f>K157+K159+K161+K163</f>
        <v>0.29729008674621582</v>
      </c>
      <c r="M165" t="s">
        <v>18</v>
      </c>
      <c r="N165" t="s">
        <v>10</v>
      </c>
      <c r="O165" t="s">
        <v>11</v>
      </c>
    </row>
    <row r="166" spans="1:15" x14ac:dyDescent="0.45">
      <c r="A166">
        <v>19</v>
      </c>
      <c r="B166">
        <v>1</v>
      </c>
      <c r="E166" s="1">
        <v>1536840363.9558201</v>
      </c>
      <c r="F166" s="1">
        <f t="shared" ref="F166" si="171">G166-E166-0.13</f>
        <v>5.9469814300537105E-2</v>
      </c>
      <c r="G166" s="1">
        <v>1536840364.1452899</v>
      </c>
      <c r="H166">
        <f>I166-G166</f>
        <v>0.12569999694824219</v>
      </c>
      <c r="I166" s="1">
        <v>1536840364.2709899</v>
      </c>
      <c r="K166">
        <f>I167-I166</f>
        <v>6.5100193023681641E-3</v>
      </c>
      <c r="M166" s="1">
        <f t="shared" ref="M166:M168" si="172">F166+H166</f>
        <v>0.18516981124877929</v>
      </c>
      <c r="N166" s="2">
        <v>169</v>
      </c>
      <c r="O166" s="2" t="s">
        <v>12</v>
      </c>
    </row>
    <row r="167" spans="1:15" x14ac:dyDescent="0.45">
      <c r="B167">
        <v>2</v>
      </c>
      <c r="C167">
        <f>E168-E167</f>
        <v>4.2598247528076172E-3</v>
      </c>
      <c r="E167" s="1">
        <v>1536840364.2683101</v>
      </c>
      <c r="F167" s="1">
        <f t="shared" ref="F167" si="173">E167-G167+0.13</f>
        <v>-1.9489879608154292E-2</v>
      </c>
      <c r="G167" s="1">
        <v>1536840364.4177999</v>
      </c>
      <c r="H167">
        <f>G167-I167</f>
        <v>0.14030003547668457</v>
      </c>
      <c r="I167" s="1">
        <v>1536840364.2774999</v>
      </c>
      <c r="M167" s="1">
        <f t="shared" si="172"/>
        <v>0.12081015586853028</v>
      </c>
      <c r="N167" s="2">
        <v>122</v>
      </c>
      <c r="O167" s="2" t="s">
        <v>13</v>
      </c>
    </row>
    <row r="168" spans="1:15" x14ac:dyDescent="0.45">
      <c r="B168">
        <v>3</v>
      </c>
      <c r="E168" s="1">
        <v>1536840364.2725699</v>
      </c>
      <c r="F168" s="1">
        <f t="shared" ref="F168" si="174">G168-E168-0.13</f>
        <v>5.989014625549316E-2</v>
      </c>
      <c r="G168" s="1">
        <v>1536840364.46246</v>
      </c>
      <c r="H168">
        <f>I168-G168</f>
        <v>7.9699993133544922E-2</v>
      </c>
      <c r="I168" s="1">
        <v>1536840364.54216</v>
      </c>
      <c r="K168">
        <f>I169-I168</f>
        <v>4.7909975051879883E-2</v>
      </c>
      <c r="M168" s="1">
        <f t="shared" si="172"/>
        <v>0.13959013938903808</v>
      </c>
      <c r="N168" s="2">
        <v>201</v>
      </c>
      <c r="O168" s="2" t="s">
        <v>12</v>
      </c>
    </row>
    <row r="169" spans="1:15" x14ac:dyDescent="0.45">
      <c r="B169">
        <v>4</v>
      </c>
      <c r="C169">
        <f>E170-E169</f>
        <v>0.170989990234375</v>
      </c>
      <c r="E169" s="1">
        <v>1536840364.8803699</v>
      </c>
      <c r="F169" s="1">
        <f t="shared" ref="F169" si="175">E169-G169+0.13</f>
        <v>5.0120000839233403E-2</v>
      </c>
      <c r="G169" s="1">
        <v>1536840364.9602499</v>
      </c>
      <c r="H169">
        <f>G169-I169</f>
        <v>0.37017989158630371</v>
      </c>
      <c r="I169" s="1">
        <v>1536840364.59007</v>
      </c>
      <c r="M169" s="1">
        <f t="shared" si="152"/>
        <v>0.42029989242553711</v>
      </c>
      <c r="N169" s="2">
        <v>616</v>
      </c>
      <c r="O169" s="2" t="s">
        <v>14</v>
      </c>
    </row>
    <row r="170" spans="1:15" x14ac:dyDescent="0.45">
      <c r="B170">
        <v>5</v>
      </c>
      <c r="E170" s="1">
        <v>1536840365.0513599</v>
      </c>
      <c r="F170" s="1">
        <f t="shared" ref="F170" si="176">G170-E170-0.13</f>
        <v>6.6250200271606441E-2</v>
      </c>
      <c r="G170" s="1">
        <v>1536840365.2476101</v>
      </c>
      <c r="H170">
        <f>I170-G170</f>
        <v>0.23957991600036621</v>
      </c>
      <c r="I170" s="1">
        <v>1536840365.48719</v>
      </c>
      <c r="K170">
        <f>I171-I170</f>
        <v>9.0379953384399414E-2</v>
      </c>
      <c r="M170" s="1">
        <f t="shared" si="152"/>
        <v>0.30583011627197265</v>
      </c>
      <c r="N170" s="2">
        <v>438</v>
      </c>
      <c r="O170" s="2" t="s">
        <v>15</v>
      </c>
    </row>
    <row r="171" spans="1:15" x14ac:dyDescent="0.45">
      <c r="B171">
        <v>6</v>
      </c>
      <c r="C171">
        <f>E172-E171</f>
        <v>4.3240070343017578E-2</v>
      </c>
      <c r="E171" s="1">
        <v>1536840365.5979099</v>
      </c>
      <c r="F171" s="1">
        <f t="shared" ref="F171" si="177">E171-G171+0.13</f>
        <v>2.6800041198730473E-2</v>
      </c>
      <c r="G171" s="1">
        <v>1536840365.7011099</v>
      </c>
      <c r="H171">
        <f>G171-I171</f>
        <v>0.12353992462158203</v>
      </c>
      <c r="I171" s="1">
        <v>1536840365.57757</v>
      </c>
      <c r="M171" s="1">
        <f t="shared" si="152"/>
        <v>0.1503399658203125</v>
      </c>
      <c r="N171" s="2">
        <v>129</v>
      </c>
      <c r="O171" s="2" t="s">
        <v>16</v>
      </c>
    </row>
    <row r="172" spans="1:15" x14ac:dyDescent="0.45">
      <c r="B172">
        <v>7</v>
      </c>
      <c r="E172" s="1">
        <v>1536840365.64115</v>
      </c>
      <c r="F172" s="1">
        <f t="shared" ref="F172" si="178">G172-E172-0.13</f>
        <v>6.0609931945800777E-2</v>
      </c>
      <c r="G172" s="1">
        <v>1536840365.8317599</v>
      </c>
      <c r="H172">
        <f>I172-G172</f>
        <v>-5.8398246765136719E-3</v>
      </c>
      <c r="I172" s="1">
        <v>1536840365.8259201</v>
      </c>
      <c r="K172">
        <f>I173-I172</f>
        <v>0.13556981086730957</v>
      </c>
      <c r="M172" s="1">
        <f t="shared" si="152"/>
        <v>5.4770107269287105E-2</v>
      </c>
      <c r="N172" s="2">
        <v>113</v>
      </c>
      <c r="O172" s="2" t="s">
        <v>17</v>
      </c>
    </row>
    <row r="173" spans="1:15" x14ac:dyDescent="0.45">
      <c r="B173">
        <v>8</v>
      </c>
      <c r="E173" s="1">
        <v>1536840365.9052701</v>
      </c>
      <c r="F173" s="1">
        <f t="shared" ref="F173" si="179">E173-G173+0.13</f>
        <v>-5.6699466705322221E-3</v>
      </c>
      <c r="G173" s="1">
        <v>1536840366.04094</v>
      </c>
      <c r="H173">
        <f>G173-I173</f>
        <v>7.9450130462646484E-2</v>
      </c>
      <c r="I173" s="1">
        <v>1536840365.9614899</v>
      </c>
      <c r="M173" s="1">
        <f t="shared" si="152"/>
        <v>7.3780183792114262E-2</v>
      </c>
      <c r="N173" s="2">
        <v>104</v>
      </c>
      <c r="O173" s="2" t="s">
        <v>17</v>
      </c>
    </row>
    <row r="174" spans="1:15" x14ac:dyDescent="0.45">
      <c r="B174" t="s">
        <v>3</v>
      </c>
      <c r="C174">
        <f>C167+C169+C171</f>
        <v>0.2184898853302002</v>
      </c>
      <c r="F174">
        <f t="shared" ref="F174" si="180">SUM(F166:F173)</f>
        <v>0.29798030853271484</v>
      </c>
      <c r="H174">
        <f>SUM(H166:H173)</f>
        <v>1.1526100635528564</v>
      </c>
      <c r="K174">
        <f>K166+K168+K170+K172</f>
        <v>0.28036975860595703</v>
      </c>
      <c r="M174" t="s">
        <v>18</v>
      </c>
      <c r="N174" s="2" t="s">
        <v>10</v>
      </c>
      <c r="O174" s="2" t="s">
        <v>11</v>
      </c>
    </row>
    <row r="175" spans="1:15" x14ac:dyDescent="0.45">
      <c r="A175">
        <v>20</v>
      </c>
      <c r="B175">
        <v>1</v>
      </c>
      <c r="E175" s="1">
        <v>1536840368.0195</v>
      </c>
      <c r="F175" s="1">
        <f t="shared" ref="F175" si="181">G175-E175-0.13</f>
        <v>7.5280065536499019E-2</v>
      </c>
      <c r="G175" s="1">
        <v>1536840368.2247801</v>
      </c>
      <c r="H175">
        <f>I175-G175</f>
        <v>9.654998779296875E-2</v>
      </c>
      <c r="I175" s="1">
        <v>1536840368.3213301</v>
      </c>
      <c r="K175">
        <f>I176-I175</f>
        <v>6.3998699188232422E-3</v>
      </c>
      <c r="M175" s="1">
        <f t="shared" ref="M175:M177" si="182">F175+H175</f>
        <v>0.17183005332946777</v>
      </c>
      <c r="N175">
        <v>169</v>
      </c>
      <c r="O175" t="s">
        <v>12</v>
      </c>
    </row>
    <row r="176" spans="1:15" x14ac:dyDescent="0.45">
      <c r="B176">
        <v>2</v>
      </c>
      <c r="C176">
        <f>E177-E176</f>
        <v>2.0820140838623047E-2</v>
      </c>
      <c r="E176" s="1">
        <v>1536840368.3633499</v>
      </c>
      <c r="F176" s="1">
        <f t="shared" ref="F176" si="183">E176-G176+0.13</f>
        <v>2.3359899520874028E-2</v>
      </c>
      <c r="G176" s="1">
        <v>1536840368.46999</v>
      </c>
      <c r="H176">
        <f>G176-I176</f>
        <v>0.14226007461547852</v>
      </c>
      <c r="I176" s="1">
        <v>1536840368.3277299</v>
      </c>
      <c r="M176" s="1">
        <f t="shared" si="182"/>
        <v>0.16561997413635254</v>
      </c>
      <c r="N176">
        <v>122</v>
      </c>
      <c r="O176" t="s">
        <v>13</v>
      </c>
    </row>
    <row r="177" spans="1:15" x14ac:dyDescent="0.45">
      <c r="B177">
        <v>3</v>
      </c>
      <c r="E177" s="1">
        <v>1536840368.3841701</v>
      </c>
      <c r="F177" s="1">
        <f t="shared" ref="F177" si="184">G177-E177-0.13</f>
        <v>6.2899942398071285E-2</v>
      </c>
      <c r="G177" s="1">
        <v>1536840368.57707</v>
      </c>
      <c r="H177">
        <f>I177-G177</f>
        <v>8.2940101623535156E-2</v>
      </c>
      <c r="I177" s="1">
        <v>1536840368.6600101</v>
      </c>
      <c r="K177">
        <f>I178-I177</f>
        <v>4.7559976577758789E-2</v>
      </c>
      <c r="M177" s="1">
        <f t="shared" si="182"/>
        <v>0.14584004402160644</v>
      </c>
      <c r="N177">
        <v>201</v>
      </c>
      <c r="O177" t="s">
        <v>12</v>
      </c>
    </row>
    <row r="178" spans="1:15" x14ac:dyDescent="0.45">
      <c r="B178">
        <v>4</v>
      </c>
      <c r="C178">
        <f>E179-E178</f>
        <v>0.15395998954772949</v>
      </c>
      <c r="E178" s="1">
        <v>1536840368.97721</v>
      </c>
      <c r="F178" s="1">
        <f t="shared" ref="F178" si="185">E178-G178+0.13</f>
        <v>2.7230148315429692E-2</v>
      </c>
      <c r="G178" s="1">
        <v>1536840369.0799799</v>
      </c>
      <c r="H178">
        <f>G178-I178</f>
        <v>0.37240982055664063</v>
      </c>
      <c r="I178" s="1">
        <v>1536840368.7075701</v>
      </c>
      <c r="M178" s="1">
        <f t="shared" si="152"/>
        <v>0.39963996887207032</v>
      </c>
      <c r="N178">
        <v>616</v>
      </c>
      <c r="O178" t="s">
        <v>14</v>
      </c>
    </row>
    <row r="179" spans="1:15" x14ac:dyDescent="0.45">
      <c r="B179">
        <v>5</v>
      </c>
      <c r="E179" s="1">
        <v>1536840369.13117</v>
      </c>
      <c r="F179" s="1">
        <f t="shared" ref="F179" si="186">G179-E179-0.13</f>
        <v>6.2199945449829097E-2</v>
      </c>
      <c r="G179" s="1">
        <v>1536840369.32337</v>
      </c>
      <c r="H179">
        <f>I179-G179</f>
        <v>0.21351003646850586</v>
      </c>
      <c r="I179" s="1">
        <v>1536840369.53688</v>
      </c>
      <c r="K179">
        <f>I180-I179</f>
        <v>9.7419977188110352E-2</v>
      </c>
      <c r="M179" s="1">
        <f t="shared" si="152"/>
        <v>0.27570998191833496</v>
      </c>
      <c r="N179">
        <v>438</v>
      </c>
      <c r="O179" t="s">
        <v>15</v>
      </c>
    </row>
    <row r="180" spans="1:15" x14ac:dyDescent="0.45">
      <c r="B180">
        <v>6</v>
      </c>
      <c r="C180">
        <f>E181-E180</f>
        <v>4.2039871215820313E-2</v>
      </c>
      <c r="E180" s="1">
        <v>1536840369.5936</v>
      </c>
      <c r="F180" s="1">
        <f t="shared" ref="F180" si="187">E180-G180+0.13</f>
        <v>-2.9679889678955074E-2</v>
      </c>
      <c r="G180" s="1">
        <v>1536840369.7532799</v>
      </c>
      <c r="H180">
        <f>G180-I180</f>
        <v>0.11897993087768555</v>
      </c>
      <c r="I180" s="1">
        <v>1536840369.6343</v>
      </c>
      <c r="M180" s="1">
        <f t="shared" si="152"/>
        <v>8.9300041198730473E-2</v>
      </c>
      <c r="N180">
        <v>129</v>
      </c>
      <c r="O180" t="s">
        <v>16</v>
      </c>
    </row>
    <row r="181" spans="1:15" x14ac:dyDescent="0.45">
      <c r="B181">
        <v>7</v>
      </c>
      <c r="E181" s="1">
        <v>1536840369.6356399</v>
      </c>
      <c r="F181" s="1">
        <f t="shared" ref="F181" si="188">G181-E181-0.13</f>
        <v>6.3030118942260738E-2</v>
      </c>
      <c r="G181" s="1">
        <v>1536840369.82867</v>
      </c>
      <c r="H181">
        <f>I181-G181</f>
        <v>4.7610044479370117E-2</v>
      </c>
      <c r="I181" s="1">
        <v>1536840369.8762801</v>
      </c>
      <c r="K181">
        <f>I182-I181</f>
        <v>0.13665986061096191</v>
      </c>
      <c r="M181" s="1">
        <f t="shared" si="152"/>
        <v>0.11064016342163085</v>
      </c>
      <c r="N181">
        <v>113</v>
      </c>
      <c r="O181" t="s">
        <v>17</v>
      </c>
    </row>
    <row r="182" spans="1:15" x14ac:dyDescent="0.45">
      <c r="B182">
        <v>8</v>
      </c>
      <c r="E182" s="1">
        <v>1536840370.0013499</v>
      </c>
      <c r="F182" s="1">
        <f t="shared" ref="F182" si="189">E182-G182+0.13</f>
        <v>3.8239841461181645E-2</v>
      </c>
      <c r="G182" s="1">
        <v>1536840370.0931101</v>
      </c>
      <c r="H182">
        <f>G182-I182</f>
        <v>8.0170154571533203E-2</v>
      </c>
      <c r="I182" s="1">
        <v>1536840370.0129399</v>
      </c>
      <c r="M182" s="1">
        <f t="shared" si="152"/>
        <v>0.11840999603271485</v>
      </c>
      <c r="N182">
        <v>104</v>
      </c>
      <c r="O182" t="s">
        <v>17</v>
      </c>
    </row>
    <row r="183" spans="1:15" x14ac:dyDescent="0.45">
      <c r="B183" t="s">
        <v>3</v>
      </c>
      <c r="C183">
        <f>C176+C178+C180</f>
        <v>0.21682000160217285</v>
      </c>
      <c r="F183">
        <f t="shared" ref="F183" si="190">SUM(F175:F182)</f>
        <v>0.32256007194519043</v>
      </c>
      <c r="H183">
        <f>SUM(H175:H182)</f>
        <v>1.1544301509857178</v>
      </c>
      <c r="K183">
        <f>K175+K177+K179+K181</f>
        <v>0.2880396842956543</v>
      </c>
      <c r="M183" t="s">
        <v>18</v>
      </c>
      <c r="N183" t="s">
        <v>10</v>
      </c>
      <c r="O183" t="s">
        <v>11</v>
      </c>
    </row>
    <row r="184" spans="1:15" x14ac:dyDescent="0.45">
      <c r="A184">
        <v>21</v>
      </c>
      <c r="B184">
        <v>1</v>
      </c>
      <c r="E184" s="1">
        <v>1536840372.65505</v>
      </c>
      <c r="F184" s="1">
        <f t="shared" ref="F184" si="191">G184-E184-0.13</f>
        <v>6.8179960250854488E-2</v>
      </c>
      <c r="G184" s="1">
        <v>1536840372.85323</v>
      </c>
      <c r="H184">
        <f>I184-G184</f>
        <v>5.849003791809082E-2</v>
      </c>
      <c r="I184" s="1">
        <v>1536840372.91172</v>
      </c>
      <c r="K184">
        <f>I185-I184</f>
        <v>7.0898532867431641E-3</v>
      </c>
      <c r="M184" s="1">
        <f t="shared" ref="M184:M186" si="192">F184+H184</f>
        <v>0.12666999816894531</v>
      </c>
      <c r="N184" s="2">
        <v>169</v>
      </c>
      <c r="O184" s="2" t="s">
        <v>12</v>
      </c>
    </row>
    <row r="185" spans="1:15" x14ac:dyDescent="0.45">
      <c r="B185">
        <v>2</v>
      </c>
      <c r="C185">
        <f>E186-E185</f>
        <v>1.6510009765625E-2</v>
      </c>
      <c r="E185" s="1">
        <v>1536840372.97258</v>
      </c>
      <c r="F185" s="1">
        <f t="shared" ref="F185" si="193">E185-G185+0.13</f>
        <v>4.0160064697265629E-2</v>
      </c>
      <c r="G185" s="1">
        <v>1536840373.0624199</v>
      </c>
      <c r="H185">
        <f>G185-I185</f>
        <v>0.14361000061035156</v>
      </c>
      <c r="I185" s="1">
        <v>1536840372.9188099</v>
      </c>
      <c r="M185" s="1">
        <f t="shared" si="192"/>
        <v>0.18377006530761719</v>
      </c>
      <c r="N185" s="2">
        <v>122</v>
      </c>
      <c r="O185" s="2" t="s">
        <v>13</v>
      </c>
    </row>
    <row r="186" spans="1:15" x14ac:dyDescent="0.45">
      <c r="B186">
        <v>3</v>
      </c>
      <c r="E186" s="1">
        <v>1536840372.98909</v>
      </c>
      <c r="F186" s="1">
        <f t="shared" ref="F186" si="194">G186-E186-0.13</f>
        <v>6.616007804870605E-2</v>
      </c>
      <c r="G186" s="1">
        <v>1536840373.18525</v>
      </c>
      <c r="H186">
        <f>I186-G186</f>
        <v>6.5170049667358398E-2</v>
      </c>
      <c r="I186" s="1">
        <v>1536840373.2504201</v>
      </c>
      <c r="K186">
        <f>I187-I186</f>
        <v>5.0889968872070313E-2</v>
      </c>
      <c r="M186" s="1">
        <f t="shared" si="192"/>
        <v>0.13133012771606445</v>
      </c>
      <c r="N186" s="2">
        <v>201</v>
      </c>
      <c r="O186" s="2" t="s">
        <v>12</v>
      </c>
    </row>
    <row r="187" spans="1:15" x14ac:dyDescent="0.45">
      <c r="B187">
        <v>4</v>
      </c>
      <c r="C187">
        <f>E188-E187</f>
        <v>0.14965009689331055</v>
      </c>
      <c r="E187" s="1">
        <v>1536840373.58516</v>
      </c>
      <c r="F187" s="1">
        <f t="shared" ref="F187" si="195">E187-G187+0.13</f>
        <v>4.2760019302368169E-2</v>
      </c>
      <c r="G187" s="1">
        <v>1536840373.6724</v>
      </c>
      <c r="H187">
        <f>G187-I187</f>
        <v>0.37108993530273438</v>
      </c>
      <c r="I187" s="1">
        <v>1536840373.3013101</v>
      </c>
      <c r="M187" s="1">
        <f t="shared" si="152"/>
        <v>0.41384995460510254</v>
      </c>
      <c r="N187" s="2">
        <v>616</v>
      </c>
      <c r="O187" s="2" t="s">
        <v>14</v>
      </c>
    </row>
    <row r="188" spans="1:15" x14ac:dyDescent="0.45">
      <c r="B188">
        <v>5</v>
      </c>
      <c r="E188" s="1">
        <v>1536840373.7348101</v>
      </c>
      <c r="F188" s="1">
        <f t="shared" ref="F188" si="196">G188-E188-0.13</f>
        <v>6.4629907608032222E-2</v>
      </c>
      <c r="G188" s="1">
        <v>1536840373.92944</v>
      </c>
      <c r="H188">
        <f>I188-G188</f>
        <v>0.19783997535705566</v>
      </c>
      <c r="I188" s="1">
        <v>1536840374.12728</v>
      </c>
      <c r="K188">
        <f>I189-I188</f>
        <v>9.6179962158203125E-2</v>
      </c>
      <c r="M188" s="1">
        <f t="shared" si="152"/>
        <v>0.26246988296508789</v>
      </c>
      <c r="N188" s="2">
        <v>438</v>
      </c>
      <c r="O188" s="2" t="s">
        <v>15</v>
      </c>
    </row>
    <row r="189" spans="1:15" x14ac:dyDescent="0.45">
      <c r="B189">
        <v>6</v>
      </c>
      <c r="C189">
        <f>E190-E189</f>
        <v>2.7909994125366211E-2</v>
      </c>
      <c r="E189" s="1">
        <v>1536840374.2012701</v>
      </c>
      <c r="F189" s="1">
        <f t="shared" ref="F189" si="197">E189-G189+0.13</f>
        <v>-1.4449949264526363E-2</v>
      </c>
      <c r="G189" s="1">
        <v>1536840374.3457201</v>
      </c>
      <c r="H189">
        <f>G189-I189</f>
        <v>0.12226009368896484</v>
      </c>
      <c r="I189" s="1">
        <v>1536840374.22346</v>
      </c>
      <c r="M189" s="1">
        <f t="shared" si="152"/>
        <v>0.10781014442443848</v>
      </c>
      <c r="N189" s="2">
        <v>129</v>
      </c>
      <c r="O189" s="2" t="s">
        <v>16</v>
      </c>
    </row>
    <row r="190" spans="1:15" x14ac:dyDescent="0.45">
      <c r="B190">
        <v>7</v>
      </c>
      <c r="E190" s="1">
        <v>1536840374.2291801</v>
      </c>
      <c r="F190" s="1">
        <f t="shared" ref="F190" si="198">G190-E190-0.13</f>
        <v>6.7559833526611324E-2</v>
      </c>
      <c r="G190" s="1">
        <v>1536840374.4267399</v>
      </c>
      <c r="H190">
        <f>I190-G190</f>
        <v>3.9940118789672852E-2</v>
      </c>
      <c r="I190" s="1">
        <v>1536840374.46668</v>
      </c>
      <c r="K190">
        <f>I191-I190</f>
        <v>0.13585996627807617</v>
      </c>
      <c r="M190" s="1">
        <f t="shared" si="152"/>
        <v>0.10749995231628418</v>
      </c>
      <c r="N190" s="2">
        <v>113</v>
      </c>
      <c r="O190" s="2" t="s">
        <v>17</v>
      </c>
    </row>
    <row r="191" spans="1:15" x14ac:dyDescent="0.45">
      <c r="B191">
        <v>8</v>
      </c>
      <c r="E191" s="1">
        <v>1536840374.6091599</v>
      </c>
      <c r="F191" s="1">
        <f t="shared" ref="F191" si="199">E191-G191+0.13</f>
        <v>5.3709869384765629E-2</v>
      </c>
      <c r="G191" s="1">
        <v>1536840374.6854501</v>
      </c>
      <c r="H191">
        <f>G191-I191</f>
        <v>8.2910060882568359E-2</v>
      </c>
      <c r="I191" s="1">
        <v>1536840374.60254</v>
      </c>
      <c r="M191" s="1">
        <f t="shared" si="152"/>
        <v>0.13661993026733399</v>
      </c>
      <c r="N191" s="2">
        <v>104</v>
      </c>
      <c r="O191" s="2" t="s">
        <v>17</v>
      </c>
    </row>
    <row r="192" spans="1:15" x14ac:dyDescent="0.45">
      <c r="B192" t="s">
        <v>3</v>
      </c>
      <c r="C192">
        <f>C185+C187+C189</f>
        <v>0.19407010078430176</v>
      </c>
      <c r="F192">
        <f t="shared" ref="F192" si="200">SUM(F184:F191)</f>
        <v>0.38870978355407715</v>
      </c>
      <c r="H192">
        <f>SUM(H184:H191)</f>
        <v>1.0813102722167969</v>
      </c>
      <c r="K192">
        <f>K184+K186+K188+K190</f>
        <v>0.29001975059509277</v>
      </c>
      <c r="M192" t="s">
        <v>18</v>
      </c>
      <c r="N192" s="2" t="s">
        <v>10</v>
      </c>
      <c r="O192" s="2" t="s">
        <v>11</v>
      </c>
    </row>
    <row r="193" spans="1:15" x14ac:dyDescent="0.45">
      <c r="A193">
        <v>22</v>
      </c>
      <c r="B193">
        <v>1</v>
      </c>
      <c r="E193" s="1">
        <v>1536840378.3712399</v>
      </c>
      <c r="F193" s="1">
        <f t="shared" ref="F193" si="201">G193-E193-0.13</f>
        <v>7.2939987182617183E-2</v>
      </c>
      <c r="G193" s="1">
        <v>1536840378.5741799</v>
      </c>
      <c r="H193">
        <f>I193-G193</f>
        <v>7.5540065765380859E-2</v>
      </c>
      <c r="I193" s="1">
        <v>1536840378.64972</v>
      </c>
      <c r="K193">
        <f>I194-I193</f>
        <v>6.7901611328125E-3</v>
      </c>
      <c r="M193" s="1">
        <f t="shared" ref="M193:M195" si="202">F193+H193</f>
        <v>0.14848005294799804</v>
      </c>
      <c r="N193">
        <v>169</v>
      </c>
      <c r="O193" t="s">
        <v>12</v>
      </c>
    </row>
    <row r="194" spans="1:15" x14ac:dyDescent="0.45">
      <c r="B194">
        <v>2</v>
      </c>
      <c r="C194">
        <f>E195-E194</f>
        <v>3.2690048217773438E-2</v>
      </c>
      <c r="E194" s="1">
        <v>1536840378.7054501</v>
      </c>
      <c r="F194" s="1">
        <f t="shared" ref="F194" si="203">E194-G194+0.13</f>
        <v>3.2500152587890629E-2</v>
      </c>
      <c r="G194" s="1">
        <v>1536840378.8029499</v>
      </c>
      <c r="H194">
        <f>G194-I194</f>
        <v>0.14643979072570801</v>
      </c>
      <c r="I194" s="1">
        <v>1536840378.6565101</v>
      </c>
      <c r="M194" s="1">
        <f t="shared" si="202"/>
        <v>0.17893994331359864</v>
      </c>
      <c r="N194">
        <v>122</v>
      </c>
      <c r="O194" t="s">
        <v>13</v>
      </c>
    </row>
    <row r="195" spans="1:15" x14ac:dyDescent="0.45">
      <c r="B195">
        <v>3</v>
      </c>
      <c r="E195" s="1">
        <v>1536840378.7381401</v>
      </c>
      <c r="F195" s="1">
        <f t="shared" ref="F195" si="204">G195-E195-0.13</f>
        <v>6.765996932983398E-2</v>
      </c>
      <c r="G195" s="1">
        <v>1536840378.9358001</v>
      </c>
      <c r="H195">
        <f>I195-G195</f>
        <v>0.12011981010437012</v>
      </c>
      <c r="I195" s="1">
        <v>1536840379.0559199</v>
      </c>
      <c r="K195">
        <f>I196-I195</f>
        <v>5.4230213165283203E-2</v>
      </c>
      <c r="M195" s="1">
        <f t="shared" si="202"/>
        <v>0.1877797794342041</v>
      </c>
      <c r="N195">
        <v>201</v>
      </c>
      <c r="O195" t="s">
        <v>12</v>
      </c>
    </row>
    <row r="196" spans="1:15" x14ac:dyDescent="0.45">
      <c r="B196">
        <v>4</v>
      </c>
      <c r="C196">
        <f>E197-E196</f>
        <v>0.16241002082824707</v>
      </c>
      <c r="E196" s="1">
        <v>1536840379.4247501</v>
      </c>
      <c r="F196" s="1">
        <f t="shared" ref="F196" si="205">E196-G196+0.13</f>
        <v>7.4101734161376998E-3</v>
      </c>
      <c r="G196" s="1">
        <v>1536840379.5473399</v>
      </c>
      <c r="H196">
        <f>G196-I196</f>
        <v>0.43718981742858887</v>
      </c>
      <c r="I196" s="1">
        <v>1536840379.1101501</v>
      </c>
      <c r="M196" s="1">
        <f t="shared" si="152"/>
        <v>0.44459999084472657</v>
      </c>
      <c r="N196">
        <v>616</v>
      </c>
      <c r="O196" t="s">
        <v>14</v>
      </c>
    </row>
    <row r="197" spans="1:15" x14ac:dyDescent="0.45">
      <c r="B197">
        <v>5</v>
      </c>
      <c r="E197" s="1">
        <v>1536840379.5871601</v>
      </c>
      <c r="F197" s="1">
        <f t="shared" ref="F197" si="206">G197-E197-0.13</f>
        <v>6.8040008544921871E-2</v>
      </c>
      <c r="G197" s="1">
        <v>1536840379.7852001</v>
      </c>
      <c r="H197">
        <f>I197-G197</f>
        <v>0.21503996849060059</v>
      </c>
      <c r="I197" s="1">
        <v>1536840380.0002401</v>
      </c>
      <c r="K197">
        <f>I198-I197</f>
        <v>9.5769882202148438E-2</v>
      </c>
      <c r="M197" s="1">
        <f t="shared" si="152"/>
        <v>0.28307997703552246</v>
      </c>
      <c r="N197">
        <v>438</v>
      </c>
      <c r="O197" t="s">
        <v>15</v>
      </c>
    </row>
    <row r="198" spans="1:15" x14ac:dyDescent="0.45">
      <c r="B198">
        <v>6</v>
      </c>
      <c r="C198">
        <f>E199-E198</f>
        <v>4.3079853057861328E-2</v>
      </c>
      <c r="E198" s="1">
        <v>1536840380.1412001</v>
      </c>
      <c r="F198" s="1">
        <f t="shared" ref="F198" si="207">E198-G198+0.13</f>
        <v>4.9880151748657231E-2</v>
      </c>
      <c r="G198" s="1">
        <v>1536840380.2213199</v>
      </c>
      <c r="H198">
        <f>G198-I198</f>
        <v>0.12530994415283203</v>
      </c>
      <c r="I198" s="1">
        <v>1536840380.09601</v>
      </c>
      <c r="M198" s="1">
        <f t="shared" si="152"/>
        <v>0.17519009590148926</v>
      </c>
      <c r="N198">
        <v>129</v>
      </c>
      <c r="O198" t="s">
        <v>16</v>
      </c>
    </row>
    <row r="199" spans="1:15" x14ac:dyDescent="0.45">
      <c r="B199">
        <v>7</v>
      </c>
      <c r="E199" s="1">
        <v>1536840380.1842799</v>
      </c>
      <c r="F199" s="1">
        <f t="shared" ref="F199" si="208">G199-E199-0.13</f>
        <v>6.8270082473754878E-2</v>
      </c>
      <c r="G199" s="1">
        <v>1536840380.38255</v>
      </c>
      <c r="H199">
        <f>I199-G199</f>
        <v>2.4640083312988281E-2</v>
      </c>
      <c r="I199" s="1">
        <v>1536840380.4071901</v>
      </c>
      <c r="K199">
        <f>I200-I199</f>
        <v>0.13563990592956543</v>
      </c>
      <c r="M199" s="1">
        <f t="shared" si="152"/>
        <v>9.291016578674316E-2</v>
      </c>
      <c r="N199">
        <v>113</v>
      </c>
      <c r="O199" t="s">
        <v>17</v>
      </c>
    </row>
    <row r="200" spans="1:15" x14ac:dyDescent="0.45">
      <c r="B200">
        <v>8</v>
      </c>
      <c r="E200" s="1">
        <v>1536840380.4929099</v>
      </c>
      <c r="F200" s="1">
        <f t="shared" ref="F200" si="209">E200-G200+0.13</f>
        <v>-5.780096054077144E-3</v>
      </c>
      <c r="G200" s="1">
        <v>1536840380.62869</v>
      </c>
      <c r="H200">
        <f>G200-I200</f>
        <v>8.5860013961791992E-2</v>
      </c>
      <c r="I200" s="1">
        <v>1536840380.54283</v>
      </c>
      <c r="M200" s="1">
        <f t="shared" si="152"/>
        <v>8.0079917907714848E-2</v>
      </c>
      <c r="N200">
        <v>104</v>
      </c>
      <c r="O200" t="s">
        <v>17</v>
      </c>
    </row>
    <row r="201" spans="1:15" x14ac:dyDescent="0.45">
      <c r="B201" t="s">
        <v>3</v>
      </c>
      <c r="C201">
        <f>C194+C196+C198</f>
        <v>0.23817992210388184</v>
      </c>
      <c r="F201">
        <f t="shared" ref="F201" si="210">SUM(F193:F200)</f>
        <v>0.36092042922973633</v>
      </c>
      <c r="H201">
        <f>SUM(H193:H200)</f>
        <v>1.2301394939422607</v>
      </c>
      <c r="K201">
        <f>K193+K195+K197+K199</f>
        <v>0.29243016242980957</v>
      </c>
      <c r="M201" t="s">
        <v>18</v>
      </c>
      <c r="N201" t="s">
        <v>10</v>
      </c>
      <c r="O201" t="s">
        <v>11</v>
      </c>
    </row>
    <row r="202" spans="1:15" x14ac:dyDescent="0.45">
      <c r="A202">
        <v>23</v>
      </c>
      <c r="B202">
        <v>1</v>
      </c>
      <c r="E202" s="1">
        <v>1536840384.10076</v>
      </c>
      <c r="F202" s="1">
        <f t="shared" ref="F202" si="211">G202-E202-0.13</f>
        <v>7.548009872436523E-2</v>
      </c>
      <c r="G202" s="1">
        <v>1536840384.3062401</v>
      </c>
      <c r="H202">
        <f>I202-G202</f>
        <v>8.1499814987182617E-2</v>
      </c>
      <c r="I202" s="1">
        <v>1536840384.3877399</v>
      </c>
      <c r="K202">
        <f>I203-I202</f>
        <v>1.9990205764770508E-2</v>
      </c>
      <c r="M202" s="1">
        <f t="shared" ref="M202:M204" si="212">F202+H202</f>
        <v>0.15697991371154785</v>
      </c>
      <c r="N202" s="2">
        <v>169</v>
      </c>
      <c r="O202" s="2" t="s">
        <v>12</v>
      </c>
    </row>
    <row r="203" spans="1:15" x14ac:dyDescent="0.45">
      <c r="B203">
        <v>2</v>
      </c>
      <c r="C203">
        <f>E204-E203</f>
        <v>2.6790142059326172E-2</v>
      </c>
      <c r="E203" s="1">
        <v>1536840384.4398999</v>
      </c>
      <c r="F203" s="1">
        <f t="shared" ref="F203" si="213">E203-G203+0.13</f>
        <v>2.5759820938110356E-2</v>
      </c>
      <c r="G203" s="1">
        <v>1536840384.5441401</v>
      </c>
      <c r="H203">
        <f>G203-I203</f>
        <v>0.13640999794006348</v>
      </c>
      <c r="I203" s="1">
        <v>1536840384.4077301</v>
      </c>
      <c r="M203" s="1">
        <f t="shared" si="212"/>
        <v>0.16216981887817383</v>
      </c>
      <c r="N203" s="2">
        <v>122</v>
      </c>
      <c r="O203" s="2" t="s">
        <v>13</v>
      </c>
    </row>
    <row r="204" spans="1:15" x14ac:dyDescent="0.45">
      <c r="B204">
        <v>3</v>
      </c>
      <c r="E204" s="1">
        <v>1536840384.4666901</v>
      </c>
      <c r="F204" s="1">
        <f t="shared" ref="F204" si="214">G204-E204-0.13</f>
        <v>7.0539827346801753E-2</v>
      </c>
      <c r="G204" s="1">
        <v>1536840384.6672299</v>
      </c>
      <c r="H204">
        <f>I204-G204</f>
        <v>5.9180021286010742E-2</v>
      </c>
      <c r="I204" s="1">
        <v>1536840384.7264099</v>
      </c>
      <c r="K204">
        <f>I205-I204</f>
        <v>4.7710180282592773E-2</v>
      </c>
      <c r="M204" s="1">
        <f t="shared" si="212"/>
        <v>0.1297198486328125</v>
      </c>
      <c r="N204" s="2">
        <v>201</v>
      </c>
      <c r="O204" s="2" t="s">
        <v>12</v>
      </c>
    </row>
    <row r="205" spans="1:15" x14ac:dyDescent="0.45">
      <c r="B205">
        <v>4</v>
      </c>
      <c r="C205">
        <f>E206-E205</f>
        <v>0.16025996208190918</v>
      </c>
      <c r="E205" s="1">
        <v>1536840384.9658201</v>
      </c>
      <c r="F205" s="1">
        <f t="shared" ref="F205" si="215">E205-G205+0.13</f>
        <v>-5.7619924545288081E-2</v>
      </c>
      <c r="G205" s="1">
        <v>1536840385.15344</v>
      </c>
      <c r="H205">
        <f>G205-I205</f>
        <v>0.37931990623474121</v>
      </c>
      <c r="I205" s="1">
        <v>1536840384.7741201</v>
      </c>
      <c r="M205" s="1">
        <f t="shared" si="152"/>
        <v>0.32169998168945313</v>
      </c>
      <c r="N205" s="2">
        <v>616</v>
      </c>
      <c r="O205" s="2" t="s">
        <v>14</v>
      </c>
    </row>
    <row r="206" spans="1:15" x14ac:dyDescent="0.45">
      <c r="B206">
        <v>5</v>
      </c>
      <c r="E206" s="1">
        <v>1536840385.12608</v>
      </c>
      <c r="F206" s="1">
        <f t="shared" ref="F206" si="216">G206-E206-0.13</f>
        <v>7.2139854431152339E-2</v>
      </c>
      <c r="G206" s="1">
        <v>1536840385.3282199</v>
      </c>
      <c r="H206">
        <f>I206-G206</f>
        <v>0.20754003524780273</v>
      </c>
      <c r="I206" s="1">
        <v>1536840385.5357599</v>
      </c>
      <c r="K206">
        <f>I207-I206</f>
        <v>0.10239005088806152</v>
      </c>
      <c r="M206" s="1">
        <f t="shared" si="152"/>
        <v>0.27967988967895507</v>
      </c>
      <c r="N206" s="2">
        <v>438</v>
      </c>
      <c r="O206" s="2" t="s">
        <v>15</v>
      </c>
    </row>
    <row r="207" spans="1:15" x14ac:dyDescent="0.45">
      <c r="B207">
        <v>6</v>
      </c>
      <c r="C207">
        <f>E208-E207</f>
        <v>4.1579961776733398E-2</v>
      </c>
      <c r="E207" s="1">
        <v>1536840385.5706501</v>
      </c>
      <c r="F207" s="1">
        <f t="shared" ref="F207" si="217">E207-G207+0.13</f>
        <v>-5.8569784164428706E-2</v>
      </c>
      <c r="G207" s="1">
        <v>1536840385.7592199</v>
      </c>
      <c r="H207">
        <f>G207-I207</f>
        <v>0.12106990814208984</v>
      </c>
      <c r="I207" s="1">
        <v>1536840385.63815</v>
      </c>
      <c r="M207" s="1">
        <f t="shared" si="152"/>
        <v>6.2500123977661137E-2</v>
      </c>
      <c r="N207" s="2">
        <v>129</v>
      </c>
      <c r="O207" s="2" t="s">
        <v>16</v>
      </c>
    </row>
    <row r="208" spans="1:15" x14ac:dyDescent="0.45">
      <c r="B208">
        <v>7</v>
      </c>
      <c r="E208" s="1">
        <v>1536840385.6122301</v>
      </c>
      <c r="F208" s="1">
        <f t="shared" ref="F208" si="218">G208-E208-0.13</f>
        <v>7.1099872589111324E-2</v>
      </c>
      <c r="G208" s="1">
        <v>1536840385.8133299</v>
      </c>
      <c r="H208">
        <f>I208-G208</f>
        <v>-5.6798458099365234E-3</v>
      </c>
      <c r="I208" s="1">
        <v>1536840385.8076501</v>
      </c>
      <c r="K208">
        <f>I209-I208</f>
        <v>0.13596987724304199</v>
      </c>
      <c r="M208" s="1">
        <f t="shared" si="152"/>
        <v>6.54200267791748E-2</v>
      </c>
      <c r="N208" s="2">
        <v>113</v>
      </c>
      <c r="O208" s="2" t="s">
        <v>17</v>
      </c>
    </row>
    <row r="209" spans="1:15" x14ac:dyDescent="0.45">
      <c r="B209">
        <v>8</v>
      </c>
      <c r="E209" s="1">
        <v>1536840385.8719001</v>
      </c>
      <c r="F209" s="1">
        <f t="shared" ref="F209" si="219">E209-G209+0.13</f>
        <v>-2.9610033035278316E-2</v>
      </c>
      <c r="G209" s="1">
        <v>1536840386.0315101</v>
      </c>
      <c r="H209">
        <f>G209-I209</f>
        <v>8.7890148162841797E-2</v>
      </c>
      <c r="I209" s="1">
        <v>1536840385.94362</v>
      </c>
      <c r="M209" s="1">
        <f t="shared" si="152"/>
        <v>5.8280115127563481E-2</v>
      </c>
      <c r="N209" s="2">
        <v>104</v>
      </c>
      <c r="O209" s="2" t="s">
        <v>17</v>
      </c>
    </row>
    <row r="210" spans="1:15" x14ac:dyDescent="0.45">
      <c r="B210" t="s">
        <v>3</v>
      </c>
      <c r="C210">
        <f>C203+C205+C207</f>
        <v>0.22863006591796875</v>
      </c>
      <c r="F210">
        <f t="shared" ref="F210" si="220">SUM(F202:F209)</f>
        <v>0.1692197322845459</v>
      </c>
      <c r="H210">
        <f>SUM(H202:H209)</f>
        <v>1.0672299861907959</v>
      </c>
      <c r="K210">
        <f>K202+K204+K206+K208</f>
        <v>0.3060603141784668</v>
      </c>
      <c r="M210" t="s">
        <v>18</v>
      </c>
      <c r="N210" s="2" t="s">
        <v>10</v>
      </c>
      <c r="O210" s="2" t="s">
        <v>11</v>
      </c>
    </row>
    <row r="211" spans="1:15" x14ac:dyDescent="0.45">
      <c r="A211">
        <v>24</v>
      </c>
      <c r="B211">
        <v>1</v>
      </c>
      <c r="E211" s="1">
        <v>1536840388.34709</v>
      </c>
      <c r="F211" s="1">
        <f t="shared" ref="F211" si="221">G211-E211-0.13</f>
        <v>7.8189964294433589E-2</v>
      </c>
      <c r="G211" s="1">
        <v>1536840388.55528</v>
      </c>
      <c r="H211">
        <f>I211-G211</f>
        <v>8.5279941558837891E-2</v>
      </c>
      <c r="I211" s="1">
        <v>1536840388.6405599</v>
      </c>
      <c r="K211">
        <f>I212-I211</f>
        <v>6.5300464630126953E-3</v>
      </c>
      <c r="M211" s="1">
        <f t="shared" ref="M211:M272" si="222">F211+H211</f>
        <v>0.16346990585327148</v>
      </c>
      <c r="N211">
        <v>169</v>
      </c>
      <c r="O211" t="s">
        <v>12</v>
      </c>
    </row>
    <row r="212" spans="1:15" x14ac:dyDescent="0.45">
      <c r="B212">
        <v>2</v>
      </c>
      <c r="C212">
        <f>E213-E212</f>
        <v>2.06298828125E-2</v>
      </c>
      <c r="E212" s="1">
        <v>1536840388.6382301</v>
      </c>
      <c r="F212" s="1">
        <f t="shared" ref="F212" si="223">E212-G212+0.13</f>
        <v>-2.9940004348754878E-2</v>
      </c>
      <c r="G212" s="1">
        <v>1536840388.7981701</v>
      </c>
      <c r="H212">
        <f>G212-I212</f>
        <v>0.15108013153076172</v>
      </c>
      <c r="I212" s="1">
        <v>1536840388.64709</v>
      </c>
      <c r="M212" s="1">
        <f t="shared" si="222"/>
        <v>0.12114012718200684</v>
      </c>
      <c r="N212">
        <v>122</v>
      </c>
      <c r="O212" t="s">
        <v>13</v>
      </c>
    </row>
    <row r="213" spans="1:15" x14ac:dyDescent="0.45">
      <c r="B213">
        <v>3</v>
      </c>
      <c r="E213" s="1">
        <v>1536840388.65886</v>
      </c>
      <c r="F213" s="1">
        <f t="shared" ref="F213" si="224">G213-E213-0.13</f>
        <v>7.3170061111450191E-2</v>
      </c>
      <c r="G213" s="1">
        <v>1536840388.86203</v>
      </c>
      <c r="H213">
        <f>I213-G213</f>
        <v>4.9750089645385742E-2</v>
      </c>
      <c r="I213" s="1">
        <v>1536840388.9117801</v>
      </c>
      <c r="K213">
        <f>I214-I213</f>
        <v>4.7159910202026367E-2</v>
      </c>
      <c r="M213" s="1">
        <f t="shared" si="222"/>
        <v>0.12292015075683593</v>
      </c>
      <c r="N213">
        <v>201</v>
      </c>
      <c r="O213" t="s">
        <v>12</v>
      </c>
    </row>
    <row r="214" spans="1:15" x14ac:dyDescent="0.45">
      <c r="B214">
        <v>4</v>
      </c>
      <c r="C214">
        <f>E215-E214</f>
        <v>0.15113997459411621</v>
      </c>
      <c r="E214" s="1">
        <v>1536840389.25319</v>
      </c>
      <c r="F214" s="1">
        <f t="shared" ref="F214" si="225">E214-G214+0.13</f>
        <v>-2.2930021286010738E-2</v>
      </c>
      <c r="G214" s="1">
        <v>1536840389.4061201</v>
      </c>
      <c r="H214">
        <f>G214-I214</f>
        <v>0.44718003273010254</v>
      </c>
      <c r="I214" s="1">
        <v>1536840388.95894</v>
      </c>
      <c r="M214" s="1">
        <f t="shared" si="222"/>
        <v>0.4242500114440918</v>
      </c>
      <c r="N214">
        <v>616</v>
      </c>
      <c r="O214" t="s">
        <v>14</v>
      </c>
    </row>
    <row r="215" spans="1:15" x14ac:dyDescent="0.45">
      <c r="B215">
        <v>5</v>
      </c>
      <c r="E215" s="1">
        <v>1536840389.40433</v>
      </c>
      <c r="F215" s="1">
        <f t="shared" ref="F215" si="226">G215-E215-0.13</f>
        <v>7.5539941787719722E-2</v>
      </c>
      <c r="G215" s="1">
        <v>1536840389.60987</v>
      </c>
      <c r="H215">
        <f>I215-G215</f>
        <v>0.24625992774963379</v>
      </c>
      <c r="I215" s="1">
        <v>1536840389.8561299</v>
      </c>
      <c r="K215">
        <f>I216-I215</f>
        <v>9.2550039291381836E-2</v>
      </c>
      <c r="M215" s="1">
        <f t="shared" si="222"/>
        <v>0.32179986953735351</v>
      </c>
      <c r="N215">
        <v>438</v>
      </c>
      <c r="O215" t="s">
        <v>15</v>
      </c>
    </row>
    <row r="216" spans="1:15" x14ac:dyDescent="0.45">
      <c r="B216">
        <v>6</v>
      </c>
      <c r="C216">
        <f>E217-E216</f>
        <v>4.0940046310424805E-2</v>
      </c>
      <c r="E216" s="1">
        <v>1536840389.89411</v>
      </c>
      <c r="F216" s="1">
        <f t="shared" ref="F216" si="227">E216-G216+0.13</f>
        <v>-5.7350034713745113E-2</v>
      </c>
      <c r="G216" s="1">
        <v>1536840390.08146</v>
      </c>
      <c r="H216">
        <f>G216-I216</f>
        <v>0.13278007507324219</v>
      </c>
      <c r="I216" s="1">
        <v>1536840389.9486799</v>
      </c>
      <c r="M216" s="1">
        <f t="shared" si="222"/>
        <v>7.5430040359497075E-2</v>
      </c>
      <c r="N216">
        <v>129</v>
      </c>
      <c r="O216" t="s">
        <v>16</v>
      </c>
    </row>
    <row r="217" spans="1:15" x14ac:dyDescent="0.45">
      <c r="B217">
        <v>7</v>
      </c>
      <c r="E217" s="1">
        <v>1536840389.93505</v>
      </c>
      <c r="F217" s="1">
        <f t="shared" ref="F217" si="228">G217-E217-0.13</f>
        <v>7.2939987182617183E-2</v>
      </c>
      <c r="G217" s="1">
        <v>1536840390.13799</v>
      </c>
      <c r="H217">
        <f>I217-G217</f>
        <v>-9.9399089813232422E-3</v>
      </c>
      <c r="I217" s="1">
        <v>1536840390.1280501</v>
      </c>
      <c r="K217">
        <f>I218-I217</f>
        <v>0.17294001579284668</v>
      </c>
      <c r="M217" s="1">
        <f t="shared" si="222"/>
        <v>6.3000078201293941E-2</v>
      </c>
      <c r="N217">
        <v>113</v>
      </c>
      <c r="O217" t="s">
        <v>17</v>
      </c>
    </row>
    <row r="218" spans="1:15" x14ac:dyDescent="0.45">
      <c r="B218">
        <v>8</v>
      </c>
      <c r="E218" s="1">
        <v>1536840390.27665</v>
      </c>
      <c r="F218" s="1">
        <f t="shared" ref="F218" si="229">E218-G218+0.13</f>
        <v>5.2889947891235356E-2</v>
      </c>
      <c r="G218" s="1">
        <v>1536840390.35376</v>
      </c>
      <c r="H218">
        <f>G218-I218</f>
        <v>5.2769899368286133E-2</v>
      </c>
      <c r="I218" s="1">
        <v>1536840390.3009901</v>
      </c>
      <c r="M218" s="1">
        <f t="shared" si="222"/>
        <v>0.10565984725952149</v>
      </c>
      <c r="N218">
        <v>104</v>
      </c>
      <c r="O218" t="s">
        <v>17</v>
      </c>
    </row>
    <row r="219" spans="1:15" x14ac:dyDescent="0.45">
      <c r="B219" t="s">
        <v>3</v>
      </c>
      <c r="C219">
        <f>C212+C214+C216</f>
        <v>0.21270990371704102</v>
      </c>
      <c r="F219">
        <f t="shared" ref="F219" si="230">SUM(F211:F218)</f>
        <v>0.24250984191894531</v>
      </c>
      <c r="H219">
        <f>SUM(H211:H218)</f>
        <v>1.1551601886749268</v>
      </c>
      <c r="K219">
        <f>K211+K213+K215+K217</f>
        <v>0.31918001174926758</v>
      </c>
      <c r="M219" t="s">
        <v>18</v>
      </c>
      <c r="N219" t="s">
        <v>10</v>
      </c>
      <c r="O219" t="s">
        <v>11</v>
      </c>
    </row>
    <row r="220" spans="1:15" x14ac:dyDescent="0.45">
      <c r="A220">
        <v>25</v>
      </c>
      <c r="B220">
        <v>1</v>
      </c>
      <c r="E220" s="1">
        <v>1536840392.87819</v>
      </c>
      <c r="F220" s="1">
        <f t="shared" ref="F220" si="231">G220-E220-0.13</f>
        <v>8.0530042648315425E-2</v>
      </c>
      <c r="G220" s="1">
        <v>1536840393.0887201</v>
      </c>
      <c r="H220">
        <f>I220-G220</f>
        <v>7.4759960174560547E-2</v>
      </c>
      <c r="I220" s="1">
        <v>1536840393.16348</v>
      </c>
      <c r="K220">
        <f>I221-I220</f>
        <v>6.259918212890625E-3</v>
      </c>
      <c r="M220" s="1">
        <f t="shared" ref="M220:M222" si="232">F220+H220</f>
        <v>0.15529000282287597</v>
      </c>
      <c r="N220" s="2">
        <v>169</v>
      </c>
      <c r="O220" s="2" t="s">
        <v>12</v>
      </c>
    </row>
    <row r="221" spans="1:15" x14ac:dyDescent="0.45">
      <c r="B221">
        <v>2</v>
      </c>
      <c r="C221">
        <f>E222-E221</f>
        <v>1.5520095825195313E-2</v>
      </c>
      <c r="E221" s="1">
        <v>1536840393.2460899</v>
      </c>
      <c r="F221" s="1">
        <f t="shared" ref="F221" si="233">E221-G221+0.13</f>
        <v>5.3069953918457036E-2</v>
      </c>
      <c r="G221" s="1">
        <v>1536840393.32302</v>
      </c>
      <c r="H221">
        <f>G221-I221</f>
        <v>0.15328001976013184</v>
      </c>
      <c r="I221" s="1">
        <v>1536840393.16974</v>
      </c>
      <c r="M221" s="1">
        <f t="shared" si="232"/>
        <v>0.20634997367858887</v>
      </c>
      <c r="N221" s="2">
        <v>122</v>
      </c>
      <c r="O221" s="2" t="s">
        <v>13</v>
      </c>
    </row>
    <row r="222" spans="1:15" x14ac:dyDescent="0.45">
      <c r="B222">
        <v>3</v>
      </c>
      <c r="E222" s="1">
        <v>1536840393.26161</v>
      </c>
      <c r="F222" s="1">
        <f t="shared" ref="F222" si="234">G222-E222-0.13</f>
        <v>7.6889867782592769E-2</v>
      </c>
      <c r="G222" s="1">
        <v>1536840393.4684999</v>
      </c>
      <c r="H222">
        <f>I222-G222</f>
        <v>0.10117006301879883</v>
      </c>
      <c r="I222" s="1">
        <v>1536840393.56967</v>
      </c>
      <c r="K222">
        <f>I223-I222</f>
        <v>4.7690153121948242E-2</v>
      </c>
      <c r="M222" s="1">
        <f t="shared" si="232"/>
        <v>0.1780599308013916</v>
      </c>
      <c r="N222" s="2">
        <v>201</v>
      </c>
      <c r="O222" s="2" t="s">
        <v>12</v>
      </c>
    </row>
    <row r="223" spans="1:15" x14ac:dyDescent="0.45">
      <c r="B223">
        <v>4</v>
      </c>
      <c r="C223">
        <f>E224-E223</f>
        <v>0.16209006309509277</v>
      </c>
      <c r="E223" s="1">
        <v>1536840393.86009</v>
      </c>
      <c r="F223" s="1">
        <f t="shared" ref="F223" si="235">E223-G223+0.13</f>
        <v>-1.0460014343261714E-2</v>
      </c>
      <c r="G223" s="1">
        <v>1536840394.00055</v>
      </c>
      <c r="H223">
        <f>G223-I223</f>
        <v>0.38318991661071777</v>
      </c>
      <c r="I223" s="1">
        <v>1536840393.6173601</v>
      </c>
      <c r="M223" s="1">
        <f t="shared" si="222"/>
        <v>0.37272990226745606</v>
      </c>
      <c r="N223" s="2">
        <v>616</v>
      </c>
      <c r="O223" s="2" t="s">
        <v>14</v>
      </c>
    </row>
    <row r="224" spans="1:15" x14ac:dyDescent="0.45">
      <c r="B224">
        <v>5</v>
      </c>
      <c r="E224" s="1">
        <v>1536840394.0221801</v>
      </c>
      <c r="F224" s="1">
        <f t="shared" ref="F224" si="236">G224-E224-0.13</f>
        <v>7.51398754119873E-2</v>
      </c>
      <c r="G224" s="1">
        <v>1536840394.22732</v>
      </c>
      <c r="H224">
        <f>I224-G224</f>
        <v>0.21986007690429688</v>
      </c>
      <c r="I224" s="1">
        <v>1536840394.44718</v>
      </c>
      <c r="K224">
        <f>I225-I224</f>
        <v>8.0519914627075195E-2</v>
      </c>
      <c r="M224" s="1">
        <f t="shared" si="222"/>
        <v>0.29499995231628418</v>
      </c>
      <c r="N224" s="2">
        <v>438</v>
      </c>
      <c r="O224" s="2" t="s">
        <v>15</v>
      </c>
    </row>
    <row r="225" spans="1:15" x14ac:dyDescent="0.45">
      <c r="B225">
        <v>6</v>
      </c>
      <c r="C225">
        <f>E226-E225</f>
        <v>5.5969953536987305E-2</v>
      </c>
      <c r="E225" s="1">
        <v>1536840394.4751101</v>
      </c>
      <c r="F225" s="1">
        <f t="shared" ref="F225" si="237">E225-G225+0.13</f>
        <v>-6.8729991912841792E-2</v>
      </c>
      <c r="G225" s="1">
        <v>1536840394.67384</v>
      </c>
      <c r="H225">
        <f>G225-I225</f>
        <v>0.14614009857177734</v>
      </c>
      <c r="I225" s="1">
        <v>1536840394.5276999</v>
      </c>
      <c r="M225" s="1">
        <f t="shared" si="222"/>
        <v>7.7410106658935551E-2</v>
      </c>
      <c r="N225" s="2">
        <v>129</v>
      </c>
      <c r="O225" s="2" t="s">
        <v>16</v>
      </c>
    </row>
    <row r="226" spans="1:15" x14ac:dyDescent="0.45">
      <c r="B226">
        <v>7</v>
      </c>
      <c r="E226" s="1">
        <v>1536840394.53108</v>
      </c>
      <c r="F226" s="1">
        <f t="shared" ref="F226" si="238">G226-E226-0.13</f>
        <v>7.5460071563720699E-2</v>
      </c>
      <c r="G226" s="1">
        <v>1536840394.7365401</v>
      </c>
      <c r="H226">
        <f>I226-G226</f>
        <v>-1.8120050430297852E-2</v>
      </c>
      <c r="I226" s="1">
        <v>1536840394.71842</v>
      </c>
      <c r="K226">
        <f>I227-I226</f>
        <v>0.13626003265380859</v>
      </c>
      <c r="M226" s="1">
        <f t="shared" si="222"/>
        <v>5.7340021133422847E-2</v>
      </c>
      <c r="N226" s="2">
        <v>113</v>
      </c>
      <c r="O226" s="2" t="s">
        <v>17</v>
      </c>
    </row>
    <row r="227" spans="1:15" x14ac:dyDescent="0.45">
      <c r="B227">
        <v>8</v>
      </c>
      <c r="E227" s="1">
        <v>1536840394.7823601</v>
      </c>
      <c r="F227" s="1">
        <f t="shared" ref="F227" si="239">E227-G227+0.13</f>
        <v>-3.3779973983764644E-2</v>
      </c>
      <c r="G227" s="1">
        <v>1536840394.9461401</v>
      </c>
      <c r="H227">
        <f>G227-I227</f>
        <v>9.1459989547729492E-2</v>
      </c>
      <c r="I227" s="1">
        <v>1536840394.8546801</v>
      </c>
      <c r="M227" s="1">
        <f t="shared" si="222"/>
        <v>5.7680015563964848E-2</v>
      </c>
      <c r="N227" s="2">
        <v>104</v>
      </c>
      <c r="O227" s="2" t="s">
        <v>17</v>
      </c>
    </row>
    <row r="228" spans="1:15" x14ac:dyDescent="0.45">
      <c r="B228" t="s">
        <v>3</v>
      </c>
      <c r="C228">
        <f>C221+C223+C225</f>
        <v>0.23358011245727539</v>
      </c>
      <c r="F228">
        <f t="shared" ref="F228" si="240">SUM(F220:F227)</f>
        <v>0.24811983108520508</v>
      </c>
      <c r="H228">
        <f>SUM(H220:H227)</f>
        <v>1.1517400741577148</v>
      </c>
      <c r="K228">
        <f>K220+K222+K224+K226</f>
        <v>0.27073001861572266</v>
      </c>
      <c r="M228" t="s">
        <v>18</v>
      </c>
      <c r="N228" s="2" t="s">
        <v>10</v>
      </c>
      <c r="O228" s="2" t="s">
        <v>11</v>
      </c>
    </row>
    <row r="229" spans="1:15" x14ac:dyDescent="0.45">
      <c r="A229">
        <v>26</v>
      </c>
      <c r="B229">
        <v>1</v>
      </c>
      <c r="E229" s="1">
        <v>1536840397.2091701</v>
      </c>
      <c r="F229" s="1">
        <f t="shared" ref="F229" si="241">G229-E229-0.13</f>
        <v>8.1869955062866206E-2</v>
      </c>
      <c r="G229" s="1">
        <v>1536840397.4210401</v>
      </c>
      <c r="H229">
        <f>I229-G229</f>
        <v>6.2819957733154297E-2</v>
      </c>
      <c r="I229" s="1">
        <v>1536840397.48386</v>
      </c>
      <c r="K229">
        <f>I230-I229</f>
        <v>6.1099529266357422E-3</v>
      </c>
      <c r="M229" s="1">
        <f t="shared" ref="M229:M231" si="242">F229+H229</f>
        <v>0.1446899127960205</v>
      </c>
      <c r="N229">
        <v>169</v>
      </c>
      <c r="O229" t="s">
        <v>12</v>
      </c>
    </row>
    <row r="230" spans="1:15" x14ac:dyDescent="0.45">
      <c r="B230">
        <v>2</v>
      </c>
      <c r="C230">
        <f>E231-E230</f>
        <v>1.4339923858642578E-2</v>
      </c>
      <c r="E230" s="1">
        <v>1536840397.5470901</v>
      </c>
      <c r="F230" s="1">
        <f t="shared" ref="F230" si="243">E230-G230+0.13</f>
        <v>3.1839971542358403E-2</v>
      </c>
      <c r="G230" s="1">
        <v>1536840397.6452501</v>
      </c>
      <c r="H230">
        <f>G230-I230</f>
        <v>0.15528011322021484</v>
      </c>
      <c r="I230" s="1">
        <v>1536840397.48997</v>
      </c>
      <c r="M230" s="1">
        <f t="shared" si="242"/>
        <v>0.18712008476257325</v>
      </c>
      <c r="N230">
        <v>122</v>
      </c>
      <c r="O230" t="s">
        <v>13</v>
      </c>
    </row>
    <row r="231" spans="1:15" x14ac:dyDescent="0.45">
      <c r="B231">
        <v>3</v>
      </c>
      <c r="E231" s="1">
        <v>1536840397.56143</v>
      </c>
      <c r="F231" s="1">
        <f t="shared" ref="F231" si="244">G231-E231-0.13</f>
        <v>8.2100028991699214E-2</v>
      </c>
      <c r="G231" s="1">
        <v>1536840397.77353</v>
      </c>
      <c r="H231">
        <f>I231-G231</f>
        <v>4.9010038375854492E-2</v>
      </c>
      <c r="I231" s="1">
        <v>1536840397.82254</v>
      </c>
      <c r="K231">
        <f>I232-I231</f>
        <v>4.9389839172363281E-2</v>
      </c>
      <c r="M231" s="1">
        <f t="shared" si="242"/>
        <v>0.13111006736755371</v>
      </c>
      <c r="N231">
        <v>201</v>
      </c>
      <c r="O231" t="s">
        <v>12</v>
      </c>
    </row>
    <row r="232" spans="1:15" x14ac:dyDescent="0.45">
      <c r="B232">
        <v>4</v>
      </c>
      <c r="C232">
        <f>E233-E232</f>
        <v>0.16180992126464844</v>
      </c>
      <c r="E232" s="1">
        <v>1536840398.16204</v>
      </c>
      <c r="F232" s="1">
        <f t="shared" ref="F232" si="245">E232-G232+0.13</f>
        <v>3.6790018081665044E-2</v>
      </c>
      <c r="G232" s="1">
        <v>1536840398.25525</v>
      </c>
      <c r="H232">
        <f>G232-I232</f>
        <v>0.38332009315490723</v>
      </c>
      <c r="I232" s="1">
        <v>1536840397.8719299</v>
      </c>
      <c r="M232" s="1">
        <f t="shared" si="222"/>
        <v>0.42011011123657227</v>
      </c>
      <c r="N232">
        <v>616</v>
      </c>
      <c r="O232" t="s">
        <v>14</v>
      </c>
    </row>
    <row r="233" spans="1:15" x14ac:dyDescent="0.45">
      <c r="B233">
        <v>5</v>
      </c>
      <c r="E233" s="1">
        <v>1536840398.3238499</v>
      </c>
      <c r="F233" s="1">
        <f t="shared" ref="F233" si="246">G233-E233-0.13</f>
        <v>7.7630157470703121E-2</v>
      </c>
      <c r="G233" s="1">
        <v>1536840398.5314801</v>
      </c>
      <c r="H233">
        <f>I233-G233</f>
        <v>0.23540997505187988</v>
      </c>
      <c r="I233" s="1">
        <v>1536840398.76689</v>
      </c>
      <c r="K233">
        <f>I234-I233</f>
        <v>7.5489997863769531E-2</v>
      </c>
      <c r="M233" s="1">
        <f t="shared" si="222"/>
        <v>0.313040132522583</v>
      </c>
      <c r="N233">
        <v>438</v>
      </c>
      <c r="O233" t="s">
        <v>15</v>
      </c>
    </row>
    <row r="234" spans="1:15" x14ac:dyDescent="0.45">
      <c r="B234">
        <v>6</v>
      </c>
      <c r="C234">
        <f>E235-E234</f>
        <v>4.5130014419555664E-2</v>
      </c>
      <c r="E234" s="1">
        <v>1536840398.8782201</v>
      </c>
      <c r="F234" s="1">
        <f t="shared" ref="F234" si="247">E234-G234+0.13</f>
        <v>1.2140159606933598E-2</v>
      </c>
      <c r="G234" s="1">
        <v>1536840398.9960799</v>
      </c>
      <c r="H234">
        <f>G234-I234</f>
        <v>0.15369987487792969</v>
      </c>
      <c r="I234" s="1">
        <v>1536840398.84238</v>
      </c>
      <c r="M234" s="1">
        <f t="shared" si="222"/>
        <v>0.16584003448486329</v>
      </c>
      <c r="N234">
        <v>129</v>
      </c>
      <c r="O234" t="s">
        <v>16</v>
      </c>
    </row>
    <row r="235" spans="1:15" x14ac:dyDescent="0.45">
      <c r="B235">
        <v>7</v>
      </c>
      <c r="E235" s="1">
        <v>1536840398.9233501</v>
      </c>
      <c r="F235" s="1">
        <f t="shared" ref="F235" si="248">G235-E235-0.13</f>
        <v>7.7969903945922847E-2</v>
      </c>
      <c r="G235" s="1">
        <v>1536840399.13132</v>
      </c>
      <c r="H235">
        <f>I235-G235</f>
        <v>4.2490005493164063E-2</v>
      </c>
      <c r="I235" s="1">
        <v>1536840399.17381</v>
      </c>
      <c r="K235">
        <f>I236-I235</f>
        <v>0.13867998123168945</v>
      </c>
      <c r="M235" s="1">
        <f t="shared" si="222"/>
        <v>0.12045990943908691</v>
      </c>
      <c r="N235">
        <v>113</v>
      </c>
      <c r="O235" t="s">
        <v>17</v>
      </c>
    </row>
    <row r="236" spans="1:15" x14ac:dyDescent="0.45">
      <c r="B236">
        <v>8</v>
      </c>
      <c r="E236" s="1">
        <v>1536840399.2880299</v>
      </c>
      <c r="F236" s="1">
        <f t="shared" ref="F236" si="249">E236-G236+0.13</f>
        <v>1.4699821472167973E-2</v>
      </c>
      <c r="G236" s="1">
        <v>1536840399.4033301</v>
      </c>
      <c r="H236">
        <f>G236-I236</f>
        <v>9.084010124206543E-2</v>
      </c>
      <c r="I236" s="1">
        <v>1536840399.31249</v>
      </c>
      <c r="M236" s="1">
        <f t="shared" si="222"/>
        <v>0.1055399227142334</v>
      </c>
      <c r="N236">
        <v>104</v>
      </c>
      <c r="O236" t="s">
        <v>17</v>
      </c>
    </row>
    <row r="237" spans="1:15" x14ac:dyDescent="0.45">
      <c r="B237" t="s">
        <v>3</v>
      </c>
      <c r="C237">
        <f>C230+C232+C234</f>
        <v>0.22127985954284668</v>
      </c>
      <c r="F237">
        <f t="shared" ref="F237" si="250">SUM(F229:F236)</f>
        <v>0.41504001617431641</v>
      </c>
      <c r="H237">
        <f>SUM(H229:H236)</f>
        <v>1.1728701591491699</v>
      </c>
      <c r="K237">
        <f>K229+K231+K233+K235</f>
        <v>0.26966977119445801</v>
      </c>
      <c r="M237" t="s">
        <v>18</v>
      </c>
      <c r="N237" t="s">
        <v>10</v>
      </c>
      <c r="O237" t="s">
        <v>11</v>
      </c>
    </row>
    <row r="238" spans="1:15" x14ac:dyDescent="0.45">
      <c r="A238">
        <v>27</v>
      </c>
      <c r="B238">
        <v>1</v>
      </c>
      <c r="E238" s="1">
        <v>1536840402.26579</v>
      </c>
      <c r="F238" s="1">
        <f t="shared" ref="F238" si="251">G238-E238-0.13</f>
        <v>8.4550018310546871E-2</v>
      </c>
      <c r="G238" s="1">
        <v>1536840402.48034</v>
      </c>
      <c r="H238">
        <f>I238-G238</f>
        <v>6.6459894180297852E-2</v>
      </c>
      <c r="I238" s="1">
        <v>1536840402.5467999</v>
      </c>
      <c r="K238">
        <f>I239-I238</f>
        <v>6.3099861145019531E-3</v>
      </c>
      <c r="M238" s="1">
        <f t="shared" ref="M238:M240" si="252">F238+H238</f>
        <v>0.15100991249084472</v>
      </c>
      <c r="N238" s="2">
        <v>169</v>
      </c>
      <c r="O238" s="2" t="s">
        <v>12</v>
      </c>
    </row>
    <row r="239" spans="1:15" x14ac:dyDescent="0.45">
      <c r="B239">
        <v>2</v>
      </c>
      <c r="C239">
        <f>E240-E239</f>
        <v>1.8630027770996094E-2</v>
      </c>
      <c r="E239" s="1">
        <v>1536840402.5662999</v>
      </c>
      <c r="F239" s="1">
        <f t="shared" ref="F239" si="253">E239-G239+0.13</f>
        <v>-1.4070148468017574E-2</v>
      </c>
      <c r="G239" s="1">
        <v>1536840402.7103701</v>
      </c>
      <c r="H239">
        <f>G239-I239</f>
        <v>0.15726017951965332</v>
      </c>
      <c r="I239" s="1">
        <v>1536840402.5531099</v>
      </c>
      <c r="M239" s="1">
        <f t="shared" si="252"/>
        <v>0.14319003105163575</v>
      </c>
      <c r="N239" s="2">
        <v>122</v>
      </c>
      <c r="O239" s="2" t="s">
        <v>13</v>
      </c>
    </row>
    <row r="240" spans="1:15" x14ac:dyDescent="0.45">
      <c r="B240">
        <v>3</v>
      </c>
      <c r="E240" s="1">
        <v>1536840402.5849299</v>
      </c>
      <c r="F240" s="1">
        <f t="shared" ref="F240" si="254">G240-E240-0.13</f>
        <v>7.941996574401855E-2</v>
      </c>
      <c r="G240" s="1">
        <v>1536840402.7943499</v>
      </c>
      <c r="H240">
        <f>I240-G240</f>
        <v>9.1780185699462891E-2</v>
      </c>
      <c r="I240" s="1">
        <v>1536840402.8861301</v>
      </c>
      <c r="K240">
        <f>I241-I240</f>
        <v>4.7249794006347656E-2</v>
      </c>
      <c r="M240" s="1">
        <f t="shared" si="252"/>
        <v>0.17120015144348144</v>
      </c>
      <c r="N240" s="2">
        <v>201</v>
      </c>
      <c r="O240" s="2" t="s">
        <v>12</v>
      </c>
    </row>
    <row r="241" spans="1:15" x14ac:dyDescent="0.45">
      <c r="B241">
        <v>4</v>
      </c>
      <c r="C241">
        <f>E242-E241</f>
        <v>0.15594005584716797</v>
      </c>
      <c r="E241" s="1">
        <v>1536840403.1791101</v>
      </c>
      <c r="F241" s="1">
        <f t="shared" ref="F241" si="255">E241-G241+0.13</f>
        <v>-1.1249895095825191E-2</v>
      </c>
      <c r="G241" s="1">
        <v>1536840403.3203599</v>
      </c>
      <c r="H241">
        <f>G241-I241</f>
        <v>0.38698005676269531</v>
      </c>
      <c r="I241" s="1">
        <v>1536840402.9333799</v>
      </c>
      <c r="M241" s="1">
        <f t="shared" si="222"/>
        <v>0.37573016166687012</v>
      </c>
      <c r="N241" s="2">
        <v>616</v>
      </c>
      <c r="O241" s="2" t="s">
        <v>14</v>
      </c>
    </row>
    <row r="242" spans="1:15" x14ac:dyDescent="0.45">
      <c r="B242">
        <v>5</v>
      </c>
      <c r="E242" s="1">
        <v>1536840403.3350501</v>
      </c>
      <c r="F242" s="1">
        <f t="shared" ref="F242" si="256">G242-E242-0.13</f>
        <v>7.9869861602783199E-2</v>
      </c>
      <c r="G242" s="1">
        <v>1536840403.54492</v>
      </c>
      <c r="H242">
        <f>I242-G242</f>
        <v>0.21740007400512695</v>
      </c>
      <c r="I242" s="1">
        <v>1536840403.76232</v>
      </c>
      <c r="K242">
        <f>I243-I242</f>
        <v>9.1769933700561523E-2</v>
      </c>
      <c r="M242" s="1">
        <f t="shared" si="222"/>
        <v>0.29726993560791015</v>
      </c>
      <c r="N242" s="2">
        <v>438</v>
      </c>
      <c r="O242" s="2" t="s">
        <v>15</v>
      </c>
    </row>
    <row r="243" spans="1:15" x14ac:dyDescent="0.45">
      <c r="B243">
        <v>6</v>
      </c>
      <c r="C243">
        <f>E244-E243</f>
        <v>4.7690153121948242E-2</v>
      </c>
      <c r="E243" s="1">
        <v>1536840403.8954799</v>
      </c>
      <c r="F243" s="1">
        <f t="shared" ref="F243" si="257">E243-G243+0.13</f>
        <v>3.1839971542358403E-2</v>
      </c>
      <c r="G243" s="1">
        <v>1536840403.9936399</v>
      </c>
      <c r="H243">
        <f>G243-I243</f>
        <v>0.13954997062683105</v>
      </c>
      <c r="I243" s="1">
        <v>1536840403.85409</v>
      </c>
      <c r="M243" s="1">
        <f t="shared" si="222"/>
        <v>0.17138994216918946</v>
      </c>
      <c r="N243" s="2">
        <v>129</v>
      </c>
      <c r="O243" s="2" t="s">
        <v>16</v>
      </c>
    </row>
    <row r="244" spans="1:15" x14ac:dyDescent="0.45">
      <c r="B244">
        <v>7</v>
      </c>
      <c r="E244" s="1">
        <v>1536840403.9431701</v>
      </c>
      <c r="F244" s="1">
        <f t="shared" ref="F244" si="258">G244-E244-0.13</f>
        <v>8.0419893264770503E-2</v>
      </c>
      <c r="G244" s="1">
        <v>1536840404.15359</v>
      </c>
      <c r="H244">
        <f>I244-G244</f>
        <v>1.5650033950805664E-2</v>
      </c>
      <c r="I244" s="1">
        <v>1536840404.16924</v>
      </c>
      <c r="K244">
        <f>I245-I244</f>
        <v>0.1356499195098877</v>
      </c>
      <c r="M244" s="1">
        <f t="shared" si="222"/>
        <v>9.6069927215576167E-2</v>
      </c>
      <c r="N244" s="2">
        <v>113</v>
      </c>
      <c r="O244" s="2" t="s">
        <v>17</v>
      </c>
    </row>
    <row r="245" spans="1:15" x14ac:dyDescent="0.45">
      <c r="B245">
        <v>8</v>
      </c>
      <c r="E245" s="1">
        <v>1536840404.3057101</v>
      </c>
      <c r="F245" s="1">
        <f t="shared" ref="F245" si="259">E245-G245+0.13</f>
        <v>3.4700040817260747E-2</v>
      </c>
      <c r="G245" s="1">
        <v>1536840404.40101</v>
      </c>
      <c r="H245">
        <f>G245-I245</f>
        <v>9.6120119094848633E-2</v>
      </c>
      <c r="I245" s="1">
        <v>1536840404.3048899</v>
      </c>
      <c r="M245" s="1">
        <f t="shared" si="222"/>
        <v>0.13082015991210938</v>
      </c>
      <c r="N245" s="2">
        <v>104</v>
      </c>
      <c r="O245" s="2" t="s">
        <v>17</v>
      </c>
    </row>
    <row r="246" spans="1:15" x14ac:dyDescent="0.45">
      <c r="B246" t="s">
        <v>3</v>
      </c>
      <c r="C246">
        <f>C239+C241+C243</f>
        <v>0.2222602367401123</v>
      </c>
      <c r="F246">
        <f t="shared" ref="F246" si="260">SUM(F238:F245)</f>
        <v>0.36547970771789551</v>
      </c>
      <c r="H246">
        <f>SUM(H238:H245)</f>
        <v>1.1712005138397217</v>
      </c>
      <c r="K246">
        <f>K238+K240+K242+K244</f>
        <v>0.28097963333129883</v>
      </c>
      <c r="M246" t="s">
        <v>18</v>
      </c>
      <c r="N246" s="2" t="s">
        <v>10</v>
      </c>
      <c r="O246" s="2" t="s">
        <v>11</v>
      </c>
    </row>
    <row r="247" spans="1:15" x14ac:dyDescent="0.45">
      <c r="A247">
        <v>28</v>
      </c>
      <c r="B247">
        <v>1</v>
      </c>
      <c r="E247" s="1">
        <v>1536840406.94575</v>
      </c>
      <c r="F247" s="1">
        <f t="shared" ref="F247" si="261">G247-E247-0.13</f>
        <v>8.7700004577636714E-2</v>
      </c>
      <c r="G247" s="1">
        <v>1536840407.16345</v>
      </c>
      <c r="H247">
        <f>I247-G247</f>
        <v>4.1249990463256836E-2</v>
      </c>
      <c r="I247" s="1">
        <v>1536840407.2047</v>
      </c>
      <c r="K247">
        <f>I248-I247</f>
        <v>2.4420022964477539E-2</v>
      </c>
      <c r="M247" s="1">
        <f t="shared" ref="M247:M249" si="262">F247+H247</f>
        <v>0.12894999504089355</v>
      </c>
      <c r="N247">
        <v>169</v>
      </c>
      <c r="O247" t="s">
        <v>12</v>
      </c>
    </row>
    <row r="248" spans="1:15" x14ac:dyDescent="0.45">
      <c r="B248">
        <v>2</v>
      </c>
      <c r="C248">
        <f>E249-E248</f>
        <v>3.1820058822631836E-2</v>
      </c>
      <c r="E248" s="1">
        <v>1536840407.27492</v>
      </c>
      <c r="F248" s="1">
        <f t="shared" ref="F248" si="263">E248-G248+0.13</f>
        <v>3.467000007629395E-2</v>
      </c>
      <c r="G248" s="1">
        <v>1536840407.37025</v>
      </c>
      <c r="H248">
        <f>G248-I248</f>
        <v>0.14112997055053711</v>
      </c>
      <c r="I248" s="1">
        <v>1536840407.22912</v>
      </c>
      <c r="M248" s="1">
        <f t="shared" si="262"/>
        <v>0.17579997062683106</v>
      </c>
      <c r="N248">
        <v>122</v>
      </c>
      <c r="O248" t="s">
        <v>13</v>
      </c>
    </row>
    <row r="249" spans="1:15" x14ac:dyDescent="0.45">
      <c r="B249">
        <v>3</v>
      </c>
      <c r="E249" s="1">
        <v>1536840407.30674</v>
      </c>
      <c r="F249" s="1">
        <f t="shared" ref="F249" si="264">G249-E249-0.13</f>
        <v>7.9239959716796871E-2</v>
      </c>
      <c r="G249" s="1">
        <v>1536840407.51598</v>
      </c>
      <c r="H249">
        <f>I249-G249</f>
        <v>9.4919919967651367E-2</v>
      </c>
      <c r="I249" s="1">
        <v>1536840407.6108999</v>
      </c>
      <c r="K249">
        <f>I250-I249</f>
        <v>5.0420045852661133E-2</v>
      </c>
      <c r="M249" s="1">
        <f t="shared" si="262"/>
        <v>0.17415987968444824</v>
      </c>
      <c r="N249">
        <v>201</v>
      </c>
      <c r="O249" t="s">
        <v>12</v>
      </c>
    </row>
    <row r="250" spans="1:15" x14ac:dyDescent="0.45">
      <c r="B250">
        <v>4</v>
      </c>
      <c r="C250">
        <f>E251-E250</f>
        <v>0.16355013847351074</v>
      </c>
      <c r="E250" s="1">
        <v>1536840407.8891799</v>
      </c>
      <c r="F250" s="1">
        <f t="shared" ref="F250" si="265">E250-G250+0.13</f>
        <v>-2.8600091934204097E-2</v>
      </c>
      <c r="G250" s="1">
        <v>1536840408.04778</v>
      </c>
      <c r="H250">
        <f>G250-I250</f>
        <v>0.3864600658416748</v>
      </c>
      <c r="I250" s="1">
        <v>1536840407.66132</v>
      </c>
      <c r="M250" s="1">
        <f t="shared" si="222"/>
        <v>0.35785997390747071</v>
      </c>
      <c r="N250">
        <v>616</v>
      </c>
      <c r="O250" t="s">
        <v>14</v>
      </c>
    </row>
    <row r="251" spans="1:15" x14ac:dyDescent="0.45">
      <c r="B251">
        <v>5</v>
      </c>
      <c r="E251" s="1">
        <v>1536840408.0527301</v>
      </c>
      <c r="F251" s="1">
        <f t="shared" ref="F251" si="266">G251-E251-0.13</f>
        <v>8.2260007858276363E-2</v>
      </c>
      <c r="G251" s="1">
        <v>1536840408.2649901</v>
      </c>
      <c r="H251">
        <f>I251-G251</f>
        <v>0.22271990776062012</v>
      </c>
      <c r="I251" s="1">
        <v>1536840408.48771</v>
      </c>
      <c r="K251">
        <f>I252-I251</f>
        <v>0.10602998733520508</v>
      </c>
      <c r="M251" s="1">
        <f t="shared" si="222"/>
        <v>0.30497991561889648</v>
      </c>
      <c r="N251">
        <v>438</v>
      </c>
      <c r="O251" t="s">
        <v>15</v>
      </c>
    </row>
    <row r="252" spans="1:15" x14ac:dyDescent="0.45">
      <c r="B252">
        <v>6</v>
      </c>
      <c r="C252">
        <f>E253-E252</f>
        <v>4.6479940414428711E-2</v>
      </c>
      <c r="E252" s="1">
        <v>1536840408.6069701</v>
      </c>
      <c r="F252" s="1">
        <f t="shared" ref="F252" si="267">E252-G252+0.13</f>
        <v>1.5900020599365239E-2</v>
      </c>
      <c r="G252" s="1">
        <v>1536840408.7210701</v>
      </c>
      <c r="H252">
        <f>G252-I252</f>
        <v>0.12733006477355957</v>
      </c>
      <c r="I252" s="1">
        <v>1536840408.59374</v>
      </c>
      <c r="M252" s="1">
        <f t="shared" si="222"/>
        <v>0.14323008537292481</v>
      </c>
      <c r="N252">
        <v>129</v>
      </c>
      <c r="O252" t="s">
        <v>16</v>
      </c>
    </row>
    <row r="253" spans="1:15" x14ac:dyDescent="0.45">
      <c r="B253">
        <v>7</v>
      </c>
      <c r="E253" s="1">
        <v>1536840408.65345</v>
      </c>
      <c r="F253" s="1">
        <f t="shared" ref="F253" si="268">G253-E253-0.13</f>
        <v>8.2840080261230464E-2</v>
      </c>
      <c r="G253" s="1">
        <v>1536840408.8662901</v>
      </c>
      <c r="H253">
        <f>I253-G253</f>
        <v>2.8359889984130859E-2</v>
      </c>
      <c r="I253" s="1">
        <v>1536840408.89465</v>
      </c>
      <c r="K253">
        <f>I254-I253</f>
        <v>0.13563013076782227</v>
      </c>
      <c r="M253" s="1">
        <f t="shared" si="222"/>
        <v>0.11119997024536132</v>
      </c>
      <c r="N253">
        <v>113</v>
      </c>
      <c r="O253" t="s">
        <v>17</v>
      </c>
    </row>
    <row r="254" spans="1:15" x14ac:dyDescent="0.45">
      <c r="B254">
        <v>8</v>
      </c>
      <c r="E254" s="1">
        <v>1536840409.0179701</v>
      </c>
      <c r="F254" s="1">
        <f t="shared" ref="F254" si="269">E254-G254+0.13</f>
        <v>1.9540195465087895E-2</v>
      </c>
      <c r="G254" s="1">
        <v>1536840409.1284299</v>
      </c>
      <c r="H254">
        <f>G254-I254</f>
        <v>9.8149776458740234E-2</v>
      </c>
      <c r="I254" s="1">
        <v>1536840409.0302801</v>
      </c>
      <c r="M254" s="1">
        <f t="shared" si="222"/>
        <v>0.11768997192382813</v>
      </c>
      <c r="N254">
        <v>104</v>
      </c>
      <c r="O254" t="s">
        <v>17</v>
      </c>
    </row>
    <row r="255" spans="1:15" x14ac:dyDescent="0.45">
      <c r="B255" t="s">
        <v>3</v>
      </c>
      <c r="C255">
        <f>C248+C250+C252</f>
        <v>0.24185013771057129</v>
      </c>
      <c r="F255">
        <f t="shared" ref="F255" si="270">SUM(F247:F254)</f>
        <v>0.3735501766204834</v>
      </c>
      <c r="H255">
        <f>SUM(H247:H254)</f>
        <v>1.1403195858001709</v>
      </c>
      <c r="K255">
        <f>K247+K249+K251+K253</f>
        <v>0.31650018692016602</v>
      </c>
      <c r="M255" t="s">
        <v>18</v>
      </c>
      <c r="N255" t="s">
        <v>10</v>
      </c>
      <c r="O255" t="s">
        <v>11</v>
      </c>
    </row>
    <row r="256" spans="1:15" x14ac:dyDescent="0.45">
      <c r="A256">
        <v>29</v>
      </c>
      <c r="B256">
        <v>1</v>
      </c>
      <c r="E256" s="1">
        <v>1536840410.95469</v>
      </c>
      <c r="F256" s="1">
        <f t="shared" ref="F256" si="271">G256-E256-0.13</f>
        <v>8.6870069503784175E-2</v>
      </c>
      <c r="G256" s="1">
        <v>1536840411.17156</v>
      </c>
      <c r="H256">
        <f>I256-G256</f>
        <v>8.3499908447265625E-2</v>
      </c>
      <c r="I256" s="1">
        <v>1536840411.25506</v>
      </c>
      <c r="K256">
        <f>I257-I256</f>
        <v>6.1800479888916016E-3</v>
      </c>
      <c r="M256" s="1">
        <f t="shared" ref="M256:M258" si="272">F256+H256</f>
        <v>0.1703699779510498</v>
      </c>
      <c r="N256" s="2">
        <v>169</v>
      </c>
      <c r="O256" s="2" t="s">
        <v>12</v>
      </c>
    </row>
    <row r="257" spans="1:15" x14ac:dyDescent="0.45">
      <c r="B257">
        <v>2</v>
      </c>
      <c r="C257">
        <f>E258-E257</f>
        <v>2.4640083312988281E-2</v>
      </c>
      <c r="E257" s="1">
        <v>1536840411.2690599</v>
      </c>
      <c r="F257" s="1">
        <f t="shared" ref="F257" si="273">E257-G257+0.13</f>
        <v>-2.3940200805664058E-2</v>
      </c>
      <c r="G257" s="1">
        <v>1536840411.4230001</v>
      </c>
      <c r="H257">
        <f>G257-I257</f>
        <v>0.16176009178161621</v>
      </c>
      <c r="I257" s="1">
        <v>1536840411.26124</v>
      </c>
      <c r="M257" s="1">
        <f t="shared" si="272"/>
        <v>0.13781989097595215</v>
      </c>
      <c r="N257" s="2">
        <v>122</v>
      </c>
      <c r="O257" s="2" t="s">
        <v>13</v>
      </c>
    </row>
    <row r="258" spans="1:15" x14ac:dyDescent="0.45">
      <c r="B258">
        <v>3</v>
      </c>
      <c r="E258" s="1">
        <v>1536840411.2937</v>
      </c>
      <c r="F258" s="1">
        <f t="shared" ref="F258" si="274">G258-E258-0.13</f>
        <v>8.416997909545898E-2</v>
      </c>
      <c r="G258" s="1">
        <v>1536840411.50787</v>
      </c>
      <c r="H258">
        <f>I258-G258</f>
        <v>8.5870027542114258E-2</v>
      </c>
      <c r="I258" s="1">
        <v>1536840411.59374</v>
      </c>
      <c r="K258">
        <f>I259-I258</f>
        <v>4.6710014343261719E-2</v>
      </c>
      <c r="M258" s="1">
        <f t="shared" si="272"/>
        <v>0.17004000663757324</v>
      </c>
      <c r="N258" s="2">
        <v>201</v>
      </c>
      <c r="O258" s="2" t="s">
        <v>12</v>
      </c>
    </row>
    <row r="259" spans="1:15" x14ac:dyDescent="0.45">
      <c r="B259">
        <v>4</v>
      </c>
      <c r="C259">
        <f>E260-E259</f>
        <v>0.15832996368408203</v>
      </c>
      <c r="E259" s="1">
        <v>1536840411.8829701</v>
      </c>
      <c r="F259" s="1">
        <f t="shared" ref="F259" si="275">E259-G259+0.13</f>
        <v>-1.933991432189941E-2</v>
      </c>
      <c r="G259" s="1">
        <v>1536840412.03231</v>
      </c>
      <c r="H259">
        <f>G259-I259</f>
        <v>0.39186000823974609</v>
      </c>
      <c r="I259" s="1">
        <v>1536840411.64045</v>
      </c>
      <c r="M259" s="1">
        <f t="shared" si="222"/>
        <v>0.37252009391784668</v>
      </c>
      <c r="N259" s="2">
        <v>616</v>
      </c>
      <c r="O259" s="2" t="s">
        <v>14</v>
      </c>
    </row>
    <row r="260" spans="1:15" x14ac:dyDescent="0.45">
      <c r="B260">
        <v>5</v>
      </c>
      <c r="E260" s="1">
        <v>1536840412.0413001</v>
      </c>
      <c r="F260" s="1">
        <f t="shared" ref="F260" si="276">G260-E260-0.13</f>
        <v>8.4819908142089839E-2</v>
      </c>
      <c r="G260" s="1">
        <v>1536840412.25612</v>
      </c>
      <c r="H260">
        <f>I260-G260</f>
        <v>0.21443009376525879</v>
      </c>
      <c r="I260" s="1">
        <v>1536840412.4705501</v>
      </c>
      <c r="K260">
        <f>I261-I260</f>
        <v>8.5959911346435547E-2</v>
      </c>
      <c r="M260" s="1">
        <f t="shared" si="222"/>
        <v>0.29925000190734863</v>
      </c>
      <c r="N260" s="2">
        <v>438</v>
      </c>
      <c r="O260" s="2" t="s">
        <v>15</v>
      </c>
    </row>
    <row r="261" spans="1:15" x14ac:dyDescent="0.45">
      <c r="B261">
        <v>6</v>
      </c>
      <c r="C261">
        <f>E262-E261</f>
        <v>4.7919988632202148E-2</v>
      </c>
      <c r="E261" s="1">
        <v>1536840412.5018201</v>
      </c>
      <c r="F261" s="1">
        <f t="shared" ref="F261" si="277">E261-G261+0.13</f>
        <v>-7.3799962997436519E-2</v>
      </c>
      <c r="G261" s="1">
        <v>1536840412.7056201</v>
      </c>
      <c r="H261">
        <f>G261-I261</f>
        <v>0.14911007881164551</v>
      </c>
      <c r="I261" s="1">
        <v>1536840412.55651</v>
      </c>
      <c r="M261" s="1">
        <f t="shared" si="222"/>
        <v>7.5310115814208989E-2</v>
      </c>
      <c r="N261" s="2">
        <v>129</v>
      </c>
      <c r="O261" s="2" t="s">
        <v>16</v>
      </c>
    </row>
    <row r="262" spans="1:15" x14ac:dyDescent="0.45">
      <c r="B262">
        <v>7</v>
      </c>
      <c r="E262" s="1">
        <v>1536840412.5497401</v>
      </c>
      <c r="F262" s="1">
        <f t="shared" ref="F262" si="278">G262-E262-0.13</f>
        <v>8.4740037918090816E-2</v>
      </c>
      <c r="G262" s="1">
        <v>1536840412.7644801</v>
      </c>
      <c r="H262">
        <f>I262-G262</f>
        <v>-2.200007438659668E-2</v>
      </c>
      <c r="I262" s="1">
        <v>1536840412.74248</v>
      </c>
      <c r="K262">
        <f>I263-I262</f>
        <v>0.13579988479614258</v>
      </c>
      <c r="M262" s="1">
        <f t="shared" si="222"/>
        <v>6.2739963531494136E-2</v>
      </c>
      <c r="N262" s="2">
        <v>113</v>
      </c>
      <c r="O262" s="2" t="s">
        <v>17</v>
      </c>
    </row>
    <row r="263" spans="1:15" x14ac:dyDescent="0.45">
      <c r="B263">
        <v>8</v>
      </c>
      <c r="E263" s="1">
        <v>1536840412.77314</v>
      </c>
      <c r="F263" s="1">
        <f t="shared" ref="F263" si="279">E263-G263+0.13</f>
        <v>-7.4760074615478511E-2</v>
      </c>
      <c r="G263" s="1">
        <v>1536840412.9779</v>
      </c>
      <c r="H263">
        <f>G263-I263</f>
        <v>9.962010383605957E-2</v>
      </c>
      <c r="I263" s="1">
        <v>1536840412.8782799</v>
      </c>
      <c r="M263" s="1">
        <f t="shared" si="222"/>
        <v>2.4860029220581059E-2</v>
      </c>
      <c r="N263" s="2">
        <v>104</v>
      </c>
      <c r="O263" s="2" t="s">
        <v>17</v>
      </c>
    </row>
    <row r="264" spans="1:15" x14ac:dyDescent="0.45">
      <c r="B264" t="s">
        <v>3</v>
      </c>
      <c r="C264">
        <f>C257+C259+C261</f>
        <v>0.23089003562927246</v>
      </c>
      <c r="F264">
        <f t="shared" ref="F264" si="280">SUM(F256:F263)</f>
        <v>0.14875984191894531</v>
      </c>
      <c r="H264">
        <f>SUM(H256:H263)</f>
        <v>1.1641502380371094</v>
      </c>
      <c r="K264">
        <f>K256+K258+K260+K262</f>
        <v>0.27464985847473145</v>
      </c>
      <c r="M264" t="s">
        <v>18</v>
      </c>
      <c r="N264" s="2" t="s">
        <v>10</v>
      </c>
      <c r="O264" s="2" t="s">
        <v>11</v>
      </c>
    </row>
    <row r="265" spans="1:15" x14ac:dyDescent="0.45">
      <c r="A265">
        <v>30</v>
      </c>
      <c r="B265">
        <v>1</v>
      </c>
      <c r="E265" s="1">
        <v>1536840415.04567</v>
      </c>
      <c r="F265" s="1">
        <f t="shared" ref="F265" si="281">G265-E265-0.13</f>
        <v>9.1459865570068355E-2</v>
      </c>
      <c r="G265" s="1">
        <v>1536840415.2671299</v>
      </c>
      <c r="H265">
        <f>I265-G265</f>
        <v>3.8269996643066406E-2</v>
      </c>
      <c r="I265" s="1">
        <v>1536840415.3053999</v>
      </c>
      <c r="K265">
        <f>I266-I265</f>
        <v>6.7501068115234375E-3</v>
      </c>
      <c r="M265" s="1">
        <f t="shared" ref="M265:M267" si="282">F265+H265</f>
        <v>0.12972986221313476</v>
      </c>
      <c r="N265">
        <v>169</v>
      </c>
      <c r="O265" t="s">
        <v>12</v>
      </c>
    </row>
    <row r="266" spans="1:15" x14ac:dyDescent="0.45">
      <c r="B266">
        <v>2</v>
      </c>
      <c r="C266">
        <f>E267-E266</f>
        <v>1.7470121383666992E-2</v>
      </c>
      <c r="E266" s="1">
        <v>1536840415.36532</v>
      </c>
      <c r="F266" s="1">
        <f t="shared" ref="F266" si="283">E266-G266+0.13</f>
        <v>2.088988304138184E-2</v>
      </c>
      <c r="G266" s="1">
        <v>1536840415.4744301</v>
      </c>
      <c r="H266">
        <f>G266-I266</f>
        <v>0.16228008270263672</v>
      </c>
      <c r="I266" s="1">
        <v>1536840415.31215</v>
      </c>
      <c r="M266" s="1">
        <f t="shared" si="282"/>
        <v>0.18316996574401856</v>
      </c>
      <c r="N266">
        <v>122</v>
      </c>
      <c r="O266" t="s">
        <v>13</v>
      </c>
    </row>
    <row r="267" spans="1:15" x14ac:dyDescent="0.45">
      <c r="B267">
        <v>3</v>
      </c>
      <c r="E267" s="1">
        <v>1536840415.3827901</v>
      </c>
      <c r="F267" s="1">
        <f t="shared" ref="F267" si="284">G267-E267-0.13</f>
        <v>9.0319986343383785E-2</v>
      </c>
      <c r="G267" s="1">
        <v>1536840415.6031101</v>
      </c>
      <c r="H267">
        <f>I267-G267</f>
        <v>4.0979862213134766E-2</v>
      </c>
      <c r="I267" s="1">
        <v>1536840415.6440899</v>
      </c>
      <c r="K267">
        <f>I268-I267</f>
        <v>4.6820163726806641E-2</v>
      </c>
      <c r="M267" s="1">
        <f t="shared" si="282"/>
        <v>0.13129984855651855</v>
      </c>
      <c r="N267">
        <v>201</v>
      </c>
      <c r="O267" t="s">
        <v>12</v>
      </c>
    </row>
    <row r="268" spans="1:15" x14ac:dyDescent="0.45">
      <c r="B268">
        <v>4</v>
      </c>
      <c r="C268">
        <f>E269-E268</f>
        <v>0.167449951171875</v>
      </c>
      <c r="E268" s="1">
        <v>1536840415.9798</v>
      </c>
      <c r="F268" s="1">
        <f t="shared" ref="F268" si="285">E268-G268+0.13</f>
        <v>-4.0079946517944331E-2</v>
      </c>
      <c r="G268" s="1">
        <v>1536840416.1498799</v>
      </c>
      <c r="H268">
        <f>G268-I268</f>
        <v>0.4589698314666748</v>
      </c>
      <c r="I268" s="1">
        <v>1536840415.6909101</v>
      </c>
      <c r="M268" s="1">
        <f t="shared" si="222"/>
        <v>0.41888988494873047</v>
      </c>
      <c r="N268">
        <v>616</v>
      </c>
      <c r="O268" t="s">
        <v>14</v>
      </c>
    </row>
    <row r="269" spans="1:15" x14ac:dyDescent="0.45">
      <c r="B269">
        <v>5</v>
      </c>
      <c r="E269" s="1">
        <v>1536840416.1472499</v>
      </c>
      <c r="F269" s="1">
        <f t="shared" ref="F269" si="286">G269-E269-0.13</f>
        <v>8.6350078582763667E-2</v>
      </c>
      <c r="G269" s="1">
        <v>1536840416.3636</v>
      </c>
      <c r="H269">
        <f>I269-G269</f>
        <v>0.22481989860534668</v>
      </c>
      <c r="I269" s="1">
        <v>1536840416.5884199</v>
      </c>
      <c r="K269">
        <f>I270-I269</f>
        <v>0.10971999168395996</v>
      </c>
      <c r="M269" s="1">
        <f t="shared" si="222"/>
        <v>0.31116997718811035</v>
      </c>
      <c r="N269">
        <v>438</v>
      </c>
      <c r="O269" t="s">
        <v>15</v>
      </c>
    </row>
    <row r="270" spans="1:15" x14ac:dyDescent="0.45">
      <c r="B270">
        <v>6</v>
      </c>
      <c r="C270">
        <f>E271-E270</f>
        <v>4.9109935760498047E-2</v>
      </c>
      <c r="E270" s="1">
        <v>1536840416.69768</v>
      </c>
      <c r="F270" s="1">
        <f t="shared" ref="F270" si="287">E270-G270+0.13</f>
        <v>2.4699020385742232E-3</v>
      </c>
      <c r="G270" s="1">
        <v>1536840416.8252101</v>
      </c>
      <c r="H270">
        <f>G270-I270</f>
        <v>0.12707018852233887</v>
      </c>
      <c r="I270" s="1">
        <v>1536840416.6981399</v>
      </c>
      <c r="M270" s="1">
        <f t="shared" si="222"/>
        <v>0.12954009056091309</v>
      </c>
      <c r="N270">
        <v>129</v>
      </c>
      <c r="O270" t="s">
        <v>16</v>
      </c>
    </row>
    <row r="271" spans="1:15" x14ac:dyDescent="0.45">
      <c r="B271">
        <v>7</v>
      </c>
      <c r="E271" s="1">
        <v>1536840416.7467899</v>
      </c>
      <c r="F271" s="1">
        <f t="shared" ref="F271" si="288">G271-E271-0.13</f>
        <v>8.7830181121826167E-2</v>
      </c>
      <c r="G271" s="1">
        <v>1536840416.9646201</v>
      </c>
      <c r="H271">
        <f>I271-G271</f>
        <v>3.0729770660400391E-2</v>
      </c>
      <c r="I271" s="1">
        <v>1536840416.9953499</v>
      </c>
      <c r="K271">
        <f>I272-I271</f>
        <v>0.13590002059936523</v>
      </c>
      <c r="M271" s="1">
        <f t="shared" si="222"/>
        <v>0.11855995178222656</v>
      </c>
      <c r="N271">
        <v>113</v>
      </c>
      <c r="O271" t="s">
        <v>17</v>
      </c>
    </row>
    <row r="272" spans="1:15" x14ac:dyDescent="0.45">
      <c r="B272">
        <v>8</v>
      </c>
      <c r="E272" s="1">
        <v>1536840417.10618</v>
      </c>
      <c r="F272" s="1">
        <f t="shared" ref="F272" si="289">E272-G272+0.13</f>
        <v>3.7099170684814498E-3</v>
      </c>
      <c r="G272" s="1">
        <v>1536840417.23247</v>
      </c>
      <c r="H272">
        <f>G272-I272</f>
        <v>0.10122013092041016</v>
      </c>
      <c r="I272" s="1">
        <v>1536840417.1312499</v>
      </c>
      <c r="M272" s="1">
        <f t="shared" si="222"/>
        <v>0.10493004798889161</v>
      </c>
      <c r="N272">
        <v>104</v>
      </c>
      <c r="O272" t="s">
        <v>17</v>
      </c>
    </row>
    <row r="273" spans="1:15" x14ac:dyDescent="0.45">
      <c r="B273" t="s">
        <v>3</v>
      </c>
      <c r="C273">
        <f>C266+C268+C270</f>
        <v>0.23403000831604004</v>
      </c>
      <c r="F273">
        <f t="shared" ref="F273" si="290">SUM(F265:F272)</f>
        <v>0.34294986724853516</v>
      </c>
      <c r="H273">
        <f>SUM(H265:H272)</f>
        <v>1.1843397617340088</v>
      </c>
      <c r="K273">
        <f>K265+K267+K269+K271</f>
        <v>0.29919028282165527</v>
      </c>
      <c r="M273" t="s">
        <v>18</v>
      </c>
      <c r="N273" t="s">
        <v>10</v>
      </c>
      <c r="O273" t="s">
        <v>11</v>
      </c>
    </row>
    <row r="274" spans="1:15" x14ac:dyDescent="0.45">
      <c r="A274">
        <v>31</v>
      </c>
      <c r="B274">
        <v>1</v>
      </c>
      <c r="E274" s="1">
        <v>1536840419.2848899</v>
      </c>
      <c r="F274" s="1">
        <f t="shared" ref="F274" si="291">G274-E274-0.13</f>
        <v>9.3920106887817378E-2</v>
      </c>
      <c r="G274" s="1">
        <v>1536840419.50881</v>
      </c>
      <c r="H274">
        <f>I274-G274</f>
        <v>4.9449920654296875E-2</v>
      </c>
      <c r="I274" s="1">
        <v>1536840419.55826</v>
      </c>
      <c r="K274">
        <f>I275-I274</f>
        <v>6.1099529266357422E-3</v>
      </c>
      <c r="M274" s="1">
        <f t="shared" ref="M274:M335" si="292">F274+H274</f>
        <v>0.14337002754211425</v>
      </c>
      <c r="N274" s="2">
        <v>169</v>
      </c>
      <c r="O274" s="2" t="s">
        <v>12</v>
      </c>
    </row>
    <row r="275" spans="1:15" x14ac:dyDescent="0.45">
      <c r="B275">
        <v>2</v>
      </c>
      <c r="C275">
        <f>E276-E275</f>
        <v>4.0800571441650391E-3</v>
      </c>
      <c r="E275" s="1">
        <v>1536840419.56532</v>
      </c>
      <c r="F275" s="1">
        <f t="shared" ref="F275" si="293">E275-G275+0.13</f>
        <v>-3.3769960403442378E-2</v>
      </c>
      <c r="G275" s="1">
        <v>1536840419.72909</v>
      </c>
      <c r="H275">
        <f>G275-I275</f>
        <v>0.16472005844116211</v>
      </c>
      <c r="I275" s="1">
        <v>1536840419.5643699</v>
      </c>
      <c r="M275" s="1">
        <f t="shared" si="292"/>
        <v>0.13095009803771973</v>
      </c>
      <c r="N275" s="2">
        <v>122</v>
      </c>
      <c r="O275" s="2" t="s">
        <v>13</v>
      </c>
    </row>
    <row r="276" spans="1:15" x14ac:dyDescent="0.45">
      <c r="B276">
        <v>3</v>
      </c>
      <c r="E276" s="1">
        <v>1536840419.5694001</v>
      </c>
      <c r="F276" s="1">
        <f t="shared" ref="F276" si="294">G276-E276-0.13</f>
        <v>9.1949815750122066E-2</v>
      </c>
      <c r="G276" s="1">
        <v>1536840419.7913499</v>
      </c>
      <c r="H276">
        <f>I276-G276</f>
        <v>3.8090229034423828E-2</v>
      </c>
      <c r="I276" s="1">
        <v>1536840419.8294401</v>
      </c>
      <c r="K276">
        <f>I277-I276</f>
        <v>5.1909923553466797E-2</v>
      </c>
      <c r="M276" s="1">
        <f t="shared" si="292"/>
        <v>0.13004004478454589</v>
      </c>
      <c r="N276" s="2">
        <v>201</v>
      </c>
      <c r="O276" s="2" t="s">
        <v>12</v>
      </c>
    </row>
    <row r="277" spans="1:15" x14ac:dyDescent="0.45">
      <c r="B277">
        <v>4</v>
      </c>
      <c r="C277">
        <f>E278-E277</f>
        <v>0.1164400577545166</v>
      </c>
      <c r="E277" s="1">
        <v>1536840420.17962</v>
      </c>
      <c r="F277" s="1">
        <f t="shared" ref="F277" si="295">E277-G277+0.13</f>
        <v>-2.8060073852539058E-2</v>
      </c>
      <c r="G277" s="1">
        <v>1536840420.3376801</v>
      </c>
      <c r="H277">
        <f>G277-I277</f>
        <v>0.4563300609588623</v>
      </c>
      <c r="I277" s="1">
        <v>1536840419.88135</v>
      </c>
      <c r="M277" s="1">
        <f t="shared" si="292"/>
        <v>0.42826998710632325</v>
      </c>
      <c r="N277" s="2">
        <v>616</v>
      </c>
      <c r="O277" s="2" t="s">
        <v>14</v>
      </c>
    </row>
    <row r="278" spans="1:15" x14ac:dyDescent="0.45">
      <c r="B278">
        <v>5</v>
      </c>
      <c r="E278" s="1">
        <v>1536840420.2960601</v>
      </c>
      <c r="F278" s="1">
        <f t="shared" ref="F278" si="296">G278-E278-0.13</f>
        <v>8.8429803848266597E-2</v>
      </c>
      <c r="G278" s="1">
        <v>1536840420.5144899</v>
      </c>
      <c r="H278">
        <f>I278-G278</f>
        <v>0.19248008728027344</v>
      </c>
      <c r="I278" s="1">
        <v>1536840420.70697</v>
      </c>
      <c r="K278">
        <f>I279-I278</f>
        <v>7.8040122985839844E-2</v>
      </c>
      <c r="M278" s="1">
        <f t="shared" si="292"/>
        <v>0.28090989112854003</v>
      </c>
      <c r="N278" s="2">
        <v>438</v>
      </c>
      <c r="O278" s="2" t="s">
        <v>15</v>
      </c>
    </row>
    <row r="279" spans="1:15" x14ac:dyDescent="0.45">
      <c r="B279">
        <v>6</v>
      </c>
      <c r="C279">
        <f>E280-E279</f>
        <v>4.3169975280761719E-2</v>
      </c>
      <c r="E279" s="1">
        <v>1536840420.79529</v>
      </c>
      <c r="F279" s="1">
        <f t="shared" ref="F279" si="297">E279-G279+0.13</f>
        <v>-1.9519920349121089E-2</v>
      </c>
      <c r="G279" s="1">
        <v>1536840420.9448099</v>
      </c>
      <c r="H279">
        <f>G279-I279</f>
        <v>0.15979981422424316</v>
      </c>
      <c r="I279" s="1">
        <v>1536840420.7850101</v>
      </c>
      <c r="M279" s="1">
        <f t="shared" si="292"/>
        <v>0.14027989387512207</v>
      </c>
      <c r="N279" s="2">
        <v>129</v>
      </c>
      <c r="O279" s="2" t="s">
        <v>16</v>
      </c>
    </row>
    <row r="280" spans="1:15" x14ac:dyDescent="0.45">
      <c r="B280">
        <v>7</v>
      </c>
      <c r="E280" s="1">
        <v>1536840420.83846</v>
      </c>
      <c r="F280" s="1">
        <f t="shared" ref="F280" si="298">G280-E280-0.13</f>
        <v>8.8670129776000972E-2</v>
      </c>
      <c r="G280" s="1">
        <v>1536840421.0571301</v>
      </c>
      <c r="H280">
        <f>I280-G280</f>
        <v>-1.1430025100708008E-2</v>
      </c>
      <c r="I280" s="1">
        <v>1536840421.0457001</v>
      </c>
      <c r="K280">
        <f>I281-I280</f>
        <v>0.13663983345031738</v>
      </c>
      <c r="M280" s="1">
        <f t="shared" si="292"/>
        <v>7.7240104675292964E-2</v>
      </c>
      <c r="N280" s="2">
        <v>113</v>
      </c>
      <c r="O280" s="2" t="s">
        <v>17</v>
      </c>
    </row>
    <row r="281" spans="1:15" x14ac:dyDescent="0.45">
      <c r="B281">
        <v>8</v>
      </c>
      <c r="E281" s="1">
        <v>1536840421.0994301</v>
      </c>
      <c r="F281" s="1">
        <f t="shared" ref="F281" si="299">E281-G281+0.13</f>
        <v>-5.5209989547729488E-2</v>
      </c>
      <c r="G281" s="1">
        <v>1536840421.2846401</v>
      </c>
      <c r="H281">
        <f>G281-I281</f>
        <v>0.10230016708374023</v>
      </c>
      <c r="I281" s="1">
        <v>1536840421.1823399</v>
      </c>
      <c r="M281" s="1">
        <f t="shared" si="292"/>
        <v>4.7090177536010747E-2</v>
      </c>
      <c r="N281" s="2">
        <v>104</v>
      </c>
      <c r="O281" s="2" t="s">
        <v>17</v>
      </c>
    </row>
    <row r="282" spans="1:15" x14ac:dyDescent="0.45">
      <c r="B282" t="s">
        <v>3</v>
      </c>
      <c r="C282">
        <f>C275+C277+C279</f>
        <v>0.16369009017944336</v>
      </c>
      <c r="F282">
        <f t="shared" ref="F282" si="300">SUM(F274:F281)</f>
        <v>0.226409912109375</v>
      </c>
      <c r="H282">
        <f>SUM(H274:H281)</f>
        <v>1.1517403125762939</v>
      </c>
      <c r="K282">
        <f>K274+K276+K278+K280</f>
        <v>0.27269983291625977</v>
      </c>
      <c r="M282" t="s">
        <v>18</v>
      </c>
      <c r="N282" s="2" t="s">
        <v>10</v>
      </c>
      <c r="O282" s="2" t="s">
        <v>11</v>
      </c>
    </row>
    <row r="283" spans="1:15" x14ac:dyDescent="0.45">
      <c r="A283">
        <v>32</v>
      </c>
      <c r="B283">
        <v>1</v>
      </c>
      <c r="E283" s="1">
        <v>1536840423.09829</v>
      </c>
      <c r="F283" s="1">
        <f t="shared" ref="F283" si="301">G283-E283-0.13</f>
        <v>9.7509975433349605E-2</v>
      </c>
      <c r="G283" s="1">
        <v>1536840423.3257999</v>
      </c>
      <c r="H283">
        <f>I283-G283</f>
        <v>8.0290079116821289E-2</v>
      </c>
      <c r="I283" s="1">
        <v>1536840423.40609</v>
      </c>
      <c r="K283">
        <f>I284-I283</f>
        <v>6.5100193023681641E-3</v>
      </c>
      <c r="M283" s="1">
        <f t="shared" ref="M283:M285" si="302">F283+H283</f>
        <v>0.17780005455017089</v>
      </c>
      <c r="N283">
        <v>169</v>
      </c>
      <c r="O283" t="s">
        <v>12</v>
      </c>
    </row>
    <row r="284" spans="1:15" x14ac:dyDescent="0.45">
      <c r="B284">
        <v>2</v>
      </c>
      <c r="C284">
        <f>E285-E284</f>
        <v>1.0650157928466797E-2</v>
      </c>
      <c r="E284" s="1">
        <v>1536840423.3686099</v>
      </c>
      <c r="F284" s="1">
        <f t="shared" ref="F284" si="303">E284-G284+0.13</f>
        <v>-7.9920167922973628E-2</v>
      </c>
      <c r="G284" s="1">
        <v>1536840423.5785301</v>
      </c>
      <c r="H284">
        <f>G284-I284</f>
        <v>0.16593003273010254</v>
      </c>
      <c r="I284" s="1">
        <v>1536840423.4126</v>
      </c>
      <c r="M284" s="1">
        <f t="shared" si="302"/>
        <v>8.6009864807128911E-2</v>
      </c>
      <c r="N284">
        <v>122</v>
      </c>
      <c r="O284" t="s">
        <v>13</v>
      </c>
    </row>
    <row r="285" spans="1:15" x14ac:dyDescent="0.45">
      <c r="B285">
        <v>3</v>
      </c>
      <c r="E285" s="1">
        <v>1536840423.3792601</v>
      </c>
      <c r="F285" s="1">
        <f t="shared" ref="F285" si="304">G285-E285-0.13</f>
        <v>8.8359947204589839E-2</v>
      </c>
      <c r="G285" s="1">
        <v>1536840423.59762</v>
      </c>
      <c r="H285">
        <f>I285-G285</f>
        <v>7.9669952392578125E-2</v>
      </c>
      <c r="I285" s="1">
        <v>1536840423.67729</v>
      </c>
      <c r="K285">
        <f>I286-I285</f>
        <v>4.7120094299316406E-2</v>
      </c>
      <c r="M285" s="1">
        <f t="shared" si="302"/>
        <v>0.16802989959716796</v>
      </c>
      <c r="N285">
        <v>201</v>
      </c>
      <c r="O285" t="s">
        <v>12</v>
      </c>
    </row>
    <row r="286" spans="1:15" x14ac:dyDescent="0.45">
      <c r="B286">
        <v>4</v>
      </c>
      <c r="C286">
        <f>E287-E286</f>
        <v>0.14871001243591309</v>
      </c>
      <c r="E286" s="1">
        <v>1536840423.9105301</v>
      </c>
      <c r="F286" s="1">
        <f t="shared" ref="F286" si="305">E286-G286+0.13</f>
        <v>-8.04499340057373E-2</v>
      </c>
      <c r="G286" s="1">
        <v>1536840424.12098</v>
      </c>
      <c r="H286">
        <f>G286-I286</f>
        <v>0.39656996726989746</v>
      </c>
      <c r="I286" s="1">
        <v>1536840423.7244101</v>
      </c>
      <c r="M286" s="1">
        <f t="shared" si="292"/>
        <v>0.31612003326416016</v>
      </c>
      <c r="N286">
        <v>616</v>
      </c>
      <c r="O286" t="s">
        <v>14</v>
      </c>
    </row>
    <row r="287" spans="1:15" x14ac:dyDescent="0.45">
      <c r="B287">
        <v>5</v>
      </c>
      <c r="E287" s="1">
        <v>1536840424.0592401</v>
      </c>
      <c r="F287" s="1">
        <f t="shared" ref="F287" si="306">G287-E287-0.13</f>
        <v>9.0629930496215816E-2</v>
      </c>
      <c r="G287" s="1">
        <v>1536840424.27987</v>
      </c>
      <c r="H287">
        <f>I287-G287</f>
        <v>0.20673990249633789</v>
      </c>
      <c r="I287" s="1">
        <v>1536840424.4866099</v>
      </c>
      <c r="K287">
        <f>I288-I287</f>
        <v>9.5679998397827148E-2</v>
      </c>
      <c r="M287" s="1">
        <f t="shared" si="292"/>
        <v>0.29736983299255371</v>
      </c>
      <c r="N287">
        <v>438</v>
      </c>
      <c r="O287" t="s">
        <v>15</v>
      </c>
    </row>
    <row r="288" spans="1:15" x14ac:dyDescent="0.45">
      <c r="B288">
        <v>6</v>
      </c>
      <c r="C288">
        <f>E289-E288</f>
        <v>3.6089897155761719E-2</v>
      </c>
      <c r="E288" s="1">
        <v>1536840424.51755</v>
      </c>
      <c r="F288" s="1">
        <f t="shared" ref="F288" si="307">E288-G288+0.13</f>
        <v>-7.9180116653442378E-2</v>
      </c>
      <c r="G288" s="1">
        <v>1536840424.7267301</v>
      </c>
      <c r="H288">
        <f>G288-I288</f>
        <v>0.1444401741027832</v>
      </c>
      <c r="I288" s="1">
        <v>1536840424.5822899</v>
      </c>
      <c r="M288" s="1">
        <f t="shared" si="292"/>
        <v>6.5260057449340825E-2</v>
      </c>
      <c r="N288">
        <v>129</v>
      </c>
      <c r="O288" t="s">
        <v>16</v>
      </c>
    </row>
    <row r="289" spans="1:15" x14ac:dyDescent="0.45">
      <c r="B289">
        <v>7</v>
      </c>
      <c r="E289" s="1">
        <v>1536840424.5536399</v>
      </c>
      <c r="F289" s="1">
        <f t="shared" ref="F289" si="308">G289-E289-0.13</f>
        <v>9.0840215682983394E-2</v>
      </c>
      <c r="G289" s="1">
        <v>1536840424.7744801</v>
      </c>
      <c r="H289">
        <f>I289-G289</f>
        <v>-1.5960216522216797E-2</v>
      </c>
      <c r="I289" s="1">
        <v>1536840424.7585199</v>
      </c>
      <c r="K289">
        <f>I290-I289</f>
        <v>0.14315009117126465</v>
      </c>
      <c r="M289" s="1">
        <f t="shared" si="292"/>
        <v>7.4879999160766597E-2</v>
      </c>
      <c r="N289">
        <v>113</v>
      </c>
      <c r="O289" t="s">
        <v>17</v>
      </c>
    </row>
    <row r="290" spans="1:15" x14ac:dyDescent="0.45">
      <c r="B290">
        <v>8</v>
      </c>
      <c r="E290" s="1">
        <v>1536840424.78759</v>
      </c>
      <c r="F290" s="1">
        <f t="shared" ref="F290" si="309">E290-G290+0.13</f>
        <v>-8.1430072784423824E-2</v>
      </c>
      <c r="G290" s="1">
        <v>1536840424.9990201</v>
      </c>
      <c r="H290">
        <f>G290-I290</f>
        <v>9.7350120544433594E-2</v>
      </c>
      <c r="I290" s="1">
        <v>1536840424.90167</v>
      </c>
      <c r="M290" s="1">
        <f t="shared" si="292"/>
        <v>1.592004776000977E-2</v>
      </c>
      <c r="N290">
        <v>104</v>
      </c>
      <c r="O290" t="s">
        <v>17</v>
      </c>
    </row>
    <row r="291" spans="1:15" x14ac:dyDescent="0.45">
      <c r="B291" t="s">
        <v>3</v>
      </c>
      <c r="C291">
        <f>C284+C286+C288</f>
        <v>0.1954500675201416</v>
      </c>
      <c r="F291">
        <f t="shared" ref="F291" si="310">SUM(F283:F290)</f>
        <v>4.6359777450561523E-2</v>
      </c>
      <c r="H291">
        <f>SUM(H283:H290)</f>
        <v>1.1550300121307373</v>
      </c>
      <c r="K291">
        <f>K283+K285+K287+K289</f>
        <v>0.29246020317077637</v>
      </c>
      <c r="M291" t="s">
        <v>18</v>
      </c>
      <c r="N291" t="s">
        <v>10</v>
      </c>
      <c r="O291" t="s">
        <v>11</v>
      </c>
    </row>
    <row r="292" spans="1:15" x14ac:dyDescent="0.45">
      <c r="A292">
        <v>33</v>
      </c>
      <c r="B292">
        <v>1</v>
      </c>
      <c r="E292" s="1">
        <v>1536840426.8973501</v>
      </c>
      <c r="F292" s="1">
        <f t="shared" ref="F292" si="311">G292-E292-0.13</f>
        <v>9.2559928894042964E-2</v>
      </c>
      <c r="G292" s="1">
        <v>1536840427.11991</v>
      </c>
      <c r="H292">
        <f>I292-G292</f>
        <v>6.6469907760620117E-2</v>
      </c>
      <c r="I292" s="1">
        <v>1536840427.1863799</v>
      </c>
      <c r="K292">
        <f>I293-I292</f>
        <v>6.9200992584228516E-3</v>
      </c>
      <c r="M292" s="1">
        <f t="shared" ref="M292:M294" si="312">F292+H292</f>
        <v>0.15902983665466308</v>
      </c>
      <c r="N292" s="2">
        <v>169</v>
      </c>
      <c r="O292" s="2" t="s">
        <v>12</v>
      </c>
    </row>
    <row r="293" spans="1:15" x14ac:dyDescent="0.45">
      <c r="B293">
        <v>2</v>
      </c>
      <c r="C293">
        <f>E294-E293</f>
        <v>7.9901218414306641E-3</v>
      </c>
      <c r="E293" s="1">
        <v>1536840427.14885</v>
      </c>
      <c r="F293" s="1">
        <f t="shared" ref="F293" si="313">E293-G293+0.13</f>
        <v>-8.1620092391967769E-2</v>
      </c>
      <c r="G293" s="1">
        <v>1536840427.3604701</v>
      </c>
      <c r="H293">
        <f>G293-I293</f>
        <v>0.16717004776000977</v>
      </c>
      <c r="I293" s="1">
        <v>1536840427.1933</v>
      </c>
      <c r="M293" s="1">
        <f t="shared" si="312"/>
        <v>8.5549955368041997E-2</v>
      </c>
      <c r="N293" s="2">
        <v>122</v>
      </c>
      <c r="O293" s="2" t="s">
        <v>13</v>
      </c>
    </row>
    <row r="294" spans="1:15" x14ac:dyDescent="0.45">
      <c r="B294">
        <v>3</v>
      </c>
      <c r="E294" s="1">
        <v>1536840427.1568401</v>
      </c>
      <c r="F294" s="1">
        <f t="shared" ref="F294" si="314">G294-E294-0.13</f>
        <v>8.8899965286254878E-2</v>
      </c>
      <c r="G294" s="1">
        <v>1536840427.3757401</v>
      </c>
      <c r="H294">
        <f>I294-G294</f>
        <v>8.1860065460205078E-2</v>
      </c>
      <c r="I294" s="1">
        <v>1536840427.4576001</v>
      </c>
      <c r="K294">
        <f>I295-I294</f>
        <v>4.8099994659423828E-2</v>
      </c>
      <c r="M294" s="1">
        <f t="shared" si="312"/>
        <v>0.17076003074645996</v>
      </c>
      <c r="N294" s="2">
        <v>201</v>
      </c>
      <c r="O294" s="2" t="s">
        <v>12</v>
      </c>
    </row>
    <row r="295" spans="1:15" x14ac:dyDescent="0.45">
      <c r="B295">
        <v>4</v>
      </c>
      <c r="C295">
        <f>E296-E295</f>
        <v>4.8110008239746094E-2</v>
      </c>
      <c r="E295" s="1">
        <v>1536840427.7555799</v>
      </c>
      <c r="F295" s="1">
        <f t="shared" ref="F295" si="315">E295-G295+0.13</f>
        <v>-1.7320032119750972E-2</v>
      </c>
      <c r="G295" s="1">
        <v>1536840427.9029</v>
      </c>
      <c r="H295">
        <f>G295-I295</f>
        <v>0.39719986915588379</v>
      </c>
      <c r="I295" s="1">
        <v>1536840427.5057001</v>
      </c>
      <c r="M295" s="1">
        <f t="shared" si="292"/>
        <v>0.37987983703613282</v>
      </c>
      <c r="N295" s="2">
        <v>616</v>
      </c>
      <c r="O295" s="2" t="s">
        <v>14</v>
      </c>
    </row>
    <row r="296" spans="1:15" x14ac:dyDescent="0.45">
      <c r="B296">
        <v>5</v>
      </c>
      <c r="E296" s="1">
        <v>1536840427.80369</v>
      </c>
      <c r="F296" s="1">
        <f t="shared" ref="F296" si="316">G296-E296-0.13</f>
        <v>9.256994247436523E-2</v>
      </c>
      <c r="G296" s="1">
        <v>1536840428.0262599</v>
      </c>
      <c r="H296">
        <f>I296-G296</f>
        <v>0.17317008972167969</v>
      </c>
      <c r="I296" s="1">
        <v>1536840428.19943</v>
      </c>
      <c r="K296">
        <f>I297-I296</f>
        <v>9.8930120468139648E-2</v>
      </c>
      <c r="M296" s="1">
        <f t="shared" si="292"/>
        <v>0.26574003219604492</v>
      </c>
      <c r="N296" s="2">
        <v>438</v>
      </c>
      <c r="O296" s="2" t="s">
        <v>15</v>
      </c>
    </row>
    <row r="297" spans="1:15" x14ac:dyDescent="0.45">
      <c r="B297">
        <v>6</v>
      </c>
      <c r="C297">
        <f>E298-E297</f>
        <v>4.1600227355957031E-2</v>
      </c>
      <c r="E297" s="1">
        <v>1536840428.2683499</v>
      </c>
      <c r="F297" s="1">
        <f t="shared" ref="F297" si="317">E297-G297+0.13</f>
        <v>-4.2780036926269527E-2</v>
      </c>
      <c r="G297" s="1">
        <v>1536840428.4411299</v>
      </c>
      <c r="H297">
        <f>G297-I297</f>
        <v>0.14276981353759766</v>
      </c>
      <c r="I297" s="1">
        <v>1536840428.2983601</v>
      </c>
      <c r="M297" s="1">
        <f t="shared" si="292"/>
        <v>9.9989776611328129E-2</v>
      </c>
      <c r="N297" s="2">
        <v>129</v>
      </c>
      <c r="O297" s="2" t="s">
        <v>16</v>
      </c>
    </row>
    <row r="298" spans="1:15" x14ac:dyDescent="0.45">
      <c r="B298">
        <v>7</v>
      </c>
      <c r="E298" s="1">
        <v>1536840428.3099501</v>
      </c>
      <c r="F298" s="1">
        <f t="shared" ref="F298" si="318">G298-E298-0.13</f>
        <v>9.2419977188110347E-2</v>
      </c>
      <c r="G298" s="1">
        <v>1536840428.5323701</v>
      </c>
      <c r="H298">
        <f>I298-G298</f>
        <v>6.4799785614013672E-3</v>
      </c>
      <c r="I298" s="1">
        <v>1536840428.5388501</v>
      </c>
      <c r="K298">
        <f>I299-I298</f>
        <v>0.13656997680664063</v>
      </c>
      <c r="M298" s="1">
        <f t="shared" si="292"/>
        <v>9.8899955749511714E-2</v>
      </c>
      <c r="N298" s="2">
        <v>113</v>
      </c>
      <c r="O298" s="2" t="s">
        <v>17</v>
      </c>
    </row>
    <row r="299" spans="1:15" x14ac:dyDescent="0.45">
      <c r="B299">
        <v>8</v>
      </c>
      <c r="E299" s="1">
        <v>1536840428.5678899</v>
      </c>
      <c r="F299" s="1">
        <f t="shared" ref="F299" si="319">E299-G299+0.13</f>
        <v>-8.3050127029418941E-2</v>
      </c>
      <c r="G299" s="1">
        <v>1536840428.7809401</v>
      </c>
      <c r="H299">
        <f>G299-I299</f>
        <v>0.10552000999450684</v>
      </c>
      <c r="I299" s="1">
        <v>1536840428.67542</v>
      </c>
      <c r="M299" s="1">
        <f t="shared" si="292"/>
        <v>2.2469882965087895E-2</v>
      </c>
      <c r="N299" s="2">
        <v>104</v>
      </c>
      <c r="O299" s="2" t="s">
        <v>17</v>
      </c>
    </row>
    <row r="300" spans="1:15" x14ac:dyDescent="0.45">
      <c r="B300" t="s">
        <v>3</v>
      </c>
      <c r="C300">
        <f>C293+C295+C297</f>
        <v>9.7700357437133789E-2</v>
      </c>
      <c r="F300">
        <f t="shared" ref="F300" si="320">SUM(F292:F299)</f>
        <v>0.14167952537536621</v>
      </c>
      <c r="H300">
        <f>SUM(H292:H299)</f>
        <v>1.1406397819519043</v>
      </c>
      <c r="K300">
        <f>K292+K294+K296+K298</f>
        <v>0.29052019119262695</v>
      </c>
      <c r="M300" t="s">
        <v>18</v>
      </c>
      <c r="N300" s="2" t="s">
        <v>10</v>
      </c>
      <c r="O300" s="2" t="s">
        <v>11</v>
      </c>
    </row>
    <row r="301" spans="1:15" x14ac:dyDescent="0.45">
      <c r="A301">
        <v>34</v>
      </c>
      <c r="B301">
        <v>1</v>
      </c>
      <c r="E301" s="1">
        <v>1536840430.57305</v>
      </c>
      <c r="F301" s="1">
        <f t="shared" ref="F301" si="321">G301-E301-0.13</f>
        <v>9.9569911956787105E-2</v>
      </c>
      <c r="G301" s="1">
        <v>1536840430.8026199</v>
      </c>
      <c r="H301">
        <f>I301-G301</f>
        <v>9.6620082855224609E-2</v>
      </c>
      <c r="I301" s="1">
        <v>1536840430.89924</v>
      </c>
      <c r="K301">
        <f>I302-I301</f>
        <v>6.1600208282470703E-3</v>
      </c>
      <c r="M301" s="1">
        <f t="shared" ref="M301:M303" si="322">F301+H301</f>
        <v>0.19618999481201171</v>
      </c>
      <c r="N301">
        <v>169</v>
      </c>
      <c r="O301" t="s">
        <v>12</v>
      </c>
    </row>
    <row r="302" spans="1:15" x14ac:dyDescent="0.45">
      <c r="B302">
        <v>2</v>
      </c>
      <c r="C302">
        <f>E303-E302</f>
        <v>2.0989894866943359E-2</v>
      </c>
      <c r="E302" s="1">
        <v>1536840430.92924</v>
      </c>
      <c r="F302" s="1">
        <f t="shared" ref="F302" si="323">E302-G302+0.13</f>
        <v>-1.5580053329467769E-2</v>
      </c>
      <c r="G302" s="1">
        <v>1536840431.07482</v>
      </c>
      <c r="H302">
        <f>G302-I302</f>
        <v>0.16942000389099121</v>
      </c>
      <c r="I302" s="1">
        <v>1536840430.9054</v>
      </c>
      <c r="M302" s="1">
        <f t="shared" si="322"/>
        <v>0.15383995056152344</v>
      </c>
      <c r="N302">
        <v>122</v>
      </c>
      <c r="O302" t="s">
        <v>13</v>
      </c>
    </row>
    <row r="303" spans="1:15" x14ac:dyDescent="0.45">
      <c r="B303">
        <v>3</v>
      </c>
      <c r="E303" s="1">
        <v>1536840430.9502299</v>
      </c>
      <c r="F303" s="1">
        <f t="shared" ref="F303" si="324">G303-E303-0.13</f>
        <v>9.5550174713134761E-2</v>
      </c>
      <c r="G303" s="1">
        <v>1536840431.1757801</v>
      </c>
      <c r="H303">
        <f>I303-G303</f>
        <v>6.2150001525878906E-2</v>
      </c>
      <c r="I303" s="1">
        <v>1536840431.2379301</v>
      </c>
      <c r="K303">
        <f>I304-I303</f>
        <v>4.6789884567260742E-2</v>
      </c>
      <c r="M303" s="1">
        <f t="shared" si="322"/>
        <v>0.15770017623901367</v>
      </c>
      <c r="N303">
        <v>201</v>
      </c>
      <c r="O303" t="s">
        <v>12</v>
      </c>
    </row>
    <row r="304" spans="1:15" x14ac:dyDescent="0.45">
      <c r="B304">
        <v>4</v>
      </c>
      <c r="C304">
        <f>E305-E304</f>
        <v>0.15496993064880371</v>
      </c>
      <c r="E304" s="1">
        <v>1536840431.5446</v>
      </c>
      <c r="F304" s="1">
        <f t="shared" ref="F304" si="325">E304-G304+0.13</f>
        <v>-1.019989967346191E-2</v>
      </c>
      <c r="G304" s="1">
        <v>1536840431.6847999</v>
      </c>
      <c r="H304">
        <f>G304-I304</f>
        <v>0.40007996559143066</v>
      </c>
      <c r="I304" s="1">
        <v>1536840431.2847199</v>
      </c>
      <c r="M304" s="1">
        <f t="shared" si="292"/>
        <v>0.38988006591796875</v>
      </c>
      <c r="N304">
        <v>616</v>
      </c>
      <c r="O304" t="s">
        <v>14</v>
      </c>
    </row>
    <row r="305" spans="1:15" x14ac:dyDescent="0.45">
      <c r="B305">
        <v>5</v>
      </c>
      <c r="E305" s="1">
        <v>1536840431.6995699</v>
      </c>
      <c r="F305" s="1">
        <f t="shared" ref="F305" si="326">G305-E305-0.13</f>
        <v>9.4760055541992183E-2</v>
      </c>
      <c r="G305" s="1">
        <v>1536840431.92433</v>
      </c>
      <c r="H305">
        <f>I305-G305</f>
        <v>0.1904599666595459</v>
      </c>
      <c r="I305" s="1">
        <v>1536840432.11479</v>
      </c>
      <c r="K305">
        <f>I306-I305</f>
        <v>9.4919919967651367E-2</v>
      </c>
      <c r="M305" s="1">
        <f t="shared" si="292"/>
        <v>0.28522002220153808</v>
      </c>
      <c r="N305">
        <v>438</v>
      </c>
      <c r="O305" t="s">
        <v>15</v>
      </c>
    </row>
    <row r="306" spans="1:15" x14ac:dyDescent="0.45">
      <c r="B306">
        <v>6</v>
      </c>
      <c r="C306">
        <f>E307-E306</f>
        <v>4.1909933090209961E-2</v>
      </c>
      <c r="E306" s="1">
        <v>1536840432.15939</v>
      </c>
      <c r="F306" s="1">
        <f t="shared" ref="F306" si="327">E306-G306+0.13</f>
        <v>-6.8729991912841792E-2</v>
      </c>
      <c r="G306" s="1">
        <v>1536840432.35812</v>
      </c>
      <c r="H306">
        <f>G306-I306</f>
        <v>0.14841008186340332</v>
      </c>
      <c r="I306" s="1">
        <v>1536840432.2097099</v>
      </c>
      <c r="M306" s="1">
        <f t="shared" si="292"/>
        <v>7.9680089950561528E-2</v>
      </c>
      <c r="N306">
        <v>129</v>
      </c>
      <c r="O306" t="s">
        <v>16</v>
      </c>
    </row>
    <row r="307" spans="1:15" x14ac:dyDescent="0.45">
      <c r="B307">
        <v>7</v>
      </c>
      <c r="E307" s="1">
        <v>1536840432.2012999</v>
      </c>
      <c r="F307" s="1">
        <f t="shared" ref="F307" si="328">G307-E307-0.13</f>
        <v>9.4310159683227535E-2</v>
      </c>
      <c r="G307" s="1">
        <v>1536840432.4256101</v>
      </c>
      <c r="H307">
        <f>I307-G307</f>
        <v>2.8579950332641602E-2</v>
      </c>
      <c r="I307" s="1">
        <v>1536840432.45419</v>
      </c>
      <c r="K307">
        <f>I308-I307</f>
        <v>0.13652992248535156</v>
      </c>
      <c r="M307" s="1">
        <f t="shared" si="292"/>
        <v>0.12289011001586914</v>
      </c>
      <c r="N307">
        <v>113</v>
      </c>
      <c r="O307" t="s">
        <v>17</v>
      </c>
    </row>
    <row r="308" spans="1:15" x14ac:dyDescent="0.45">
      <c r="B308">
        <v>8</v>
      </c>
      <c r="E308" s="1">
        <v>1536840432.5683801</v>
      </c>
      <c r="F308" s="1">
        <f t="shared" ref="F308" si="329">E308-G308+0.13</f>
        <v>4.4000625610352007E-4</v>
      </c>
      <c r="G308" s="1">
        <v>1536840432.6979401</v>
      </c>
      <c r="H308">
        <f>G308-I308</f>
        <v>0.10722017288208008</v>
      </c>
      <c r="I308" s="1">
        <v>1536840432.5907199</v>
      </c>
      <c r="M308" s="1">
        <f t="shared" si="292"/>
        <v>0.1076601791381836</v>
      </c>
      <c r="N308">
        <v>104</v>
      </c>
      <c r="O308" t="s">
        <v>17</v>
      </c>
    </row>
    <row r="309" spans="1:15" x14ac:dyDescent="0.45">
      <c r="B309" t="s">
        <v>3</v>
      </c>
      <c r="C309">
        <f>C302+C304+C306</f>
        <v>0.21786975860595703</v>
      </c>
      <c r="F309">
        <f t="shared" ref="F309" si="330">SUM(F301:F308)</f>
        <v>0.29012036323547363</v>
      </c>
      <c r="H309">
        <f>SUM(H301:H308)</f>
        <v>1.2029402256011963</v>
      </c>
      <c r="K309">
        <f>K301+K303+K305+K307</f>
        <v>0.28439974784851074</v>
      </c>
      <c r="M309" t="s">
        <v>18</v>
      </c>
      <c r="N309" t="s">
        <v>10</v>
      </c>
      <c r="O309" t="s">
        <v>11</v>
      </c>
    </row>
    <row r="310" spans="1:15" x14ac:dyDescent="0.45">
      <c r="A310">
        <v>35</v>
      </c>
      <c r="B310">
        <v>1</v>
      </c>
      <c r="E310" s="1">
        <v>1536840435.1147599</v>
      </c>
      <c r="F310" s="1">
        <f t="shared" ref="F310" si="331">G310-E310-0.13</f>
        <v>0.10113012313842773</v>
      </c>
      <c r="G310" s="1">
        <v>1536840435.34589</v>
      </c>
      <c r="H310">
        <f>I310-G310</f>
        <v>7.6259851455688477E-2</v>
      </c>
      <c r="I310" s="1">
        <v>1536840435.4221499</v>
      </c>
      <c r="K310">
        <f>I311-I310</f>
        <v>6.5000057220458984E-3</v>
      </c>
      <c r="M310" s="1">
        <f t="shared" ref="M310:M312" si="332">F310+H310</f>
        <v>0.17738997459411621</v>
      </c>
      <c r="N310" s="2">
        <v>169</v>
      </c>
      <c r="O310" s="2" t="s">
        <v>12</v>
      </c>
    </row>
    <row r="311" spans="1:15" x14ac:dyDescent="0.45">
      <c r="B311">
        <v>2</v>
      </c>
      <c r="C311">
        <f>E312-E311</f>
        <v>2.1969795227050781E-2</v>
      </c>
      <c r="E311" s="1">
        <v>1536840435.4365301</v>
      </c>
      <c r="F311" s="1">
        <f t="shared" ref="F311" si="333">E311-G311+0.13</f>
        <v>-3.3779973983764644E-2</v>
      </c>
      <c r="G311" s="1">
        <v>1536840435.6003101</v>
      </c>
      <c r="H311">
        <f>G311-I311</f>
        <v>0.17166018486022949</v>
      </c>
      <c r="I311" s="1">
        <v>1536840435.4286499</v>
      </c>
      <c r="M311" s="1">
        <f t="shared" si="332"/>
        <v>0.13788021087646485</v>
      </c>
      <c r="N311" s="2">
        <v>122</v>
      </c>
      <c r="O311" s="2" t="s">
        <v>13</v>
      </c>
    </row>
    <row r="312" spans="1:15" x14ac:dyDescent="0.45">
      <c r="B312">
        <v>3</v>
      </c>
      <c r="E312" s="1">
        <v>1536840435.4584999</v>
      </c>
      <c r="F312" s="1">
        <f t="shared" ref="F312" si="334">G312-E312-0.13</f>
        <v>9.6960182189941402E-2</v>
      </c>
      <c r="G312" s="1">
        <v>1536840435.6854601</v>
      </c>
      <c r="H312">
        <f>I312-G312</f>
        <v>7.5369834899902344E-2</v>
      </c>
      <c r="I312" s="1">
        <v>1536840435.7608299</v>
      </c>
      <c r="K312">
        <f>I313-I312</f>
        <v>4.6770095825195313E-2</v>
      </c>
      <c r="M312" s="1">
        <f t="shared" si="332"/>
        <v>0.17233001708984375</v>
      </c>
      <c r="N312" s="2">
        <v>201</v>
      </c>
      <c r="O312" s="2" t="s">
        <v>12</v>
      </c>
    </row>
    <row r="313" spans="1:15" x14ac:dyDescent="0.45">
      <c r="B313">
        <v>4</v>
      </c>
      <c r="C313">
        <f>E314-E313</f>
        <v>0.14379000663757324</v>
      </c>
      <c r="E313" s="1">
        <v>1536840436.0504899</v>
      </c>
      <c r="F313" s="1">
        <f t="shared" ref="F313" si="335">E313-G313+0.13</f>
        <v>-2.9110069274902339E-2</v>
      </c>
      <c r="G313" s="1">
        <v>1536840436.2096</v>
      </c>
      <c r="H313">
        <f>G313-I313</f>
        <v>0.40199995040893555</v>
      </c>
      <c r="I313" s="1">
        <v>1536840435.8076</v>
      </c>
      <c r="M313" s="1">
        <f t="shared" si="292"/>
        <v>0.37288988113403321</v>
      </c>
      <c r="N313" s="2">
        <v>616</v>
      </c>
      <c r="O313" s="2" t="s">
        <v>14</v>
      </c>
    </row>
    <row r="314" spans="1:15" x14ac:dyDescent="0.45">
      <c r="B314">
        <v>5</v>
      </c>
      <c r="E314" s="1">
        <v>1536840436.1942799</v>
      </c>
      <c r="F314" s="1">
        <f t="shared" ref="F314" si="336">G314-E314-0.13</f>
        <v>9.6780176162719722E-2</v>
      </c>
      <c r="G314" s="1">
        <v>1536840436.4210601</v>
      </c>
      <c r="H314">
        <f>I314-G314</f>
        <v>0.21659994125366211</v>
      </c>
      <c r="I314" s="1">
        <v>1536840436.63766</v>
      </c>
      <c r="K314">
        <f>I315-I314</f>
        <v>8.4330081939697266E-2</v>
      </c>
      <c r="M314" s="1">
        <f t="shared" si="292"/>
        <v>0.31338011741638183</v>
      </c>
      <c r="N314" s="2">
        <v>438</v>
      </c>
      <c r="O314" s="2" t="s">
        <v>15</v>
      </c>
    </row>
    <row r="315" spans="1:15" x14ac:dyDescent="0.45">
      <c r="B315">
        <v>6</v>
      </c>
      <c r="C315">
        <f>E316-E315</f>
        <v>6.5129995346069336E-2</v>
      </c>
      <c r="E315" s="1">
        <v>1536840436.7692299</v>
      </c>
      <c r="F315" s="1">
        <f t="shared" ref="F315" si="337">E315-G315+0.13</f>
        <v>1.6329889297485356E-2</v>
      </c>
      <c r="G315" s="1">
        <v>1536840436.8829</v>
      </c>
      <c r="H315">
        <f>G315-I315</f>
        <v>0.16090989112854004</v>
      </c>
      <c r="I315" s="1">
        <v>1536840436.7219901</v>
      </c>
      <c r="M315" s="1">
        <f t="shared" si="292"/>
        <v>0.1772397804260254</v>
      </c>
      <c r="N315" s="2">
        <v>129</v>
      </c>
      <c r="O315" s="2" t="s">
        <v>16</v>
      </c>
    </row>
    <row r="316" spans="1:15" x14ac:dyDescent="0.45">
      <c r="B316">
        <v>7</v>
      </c>
      <c r="E316" s="1">
        <v>1536840436.8343599</v>
      </c>
      <c r="F316" s="1">
        <f t="shared" ref="F316" si="338">G316-E316-0.13</f>
        <v>9.7230072021484371E-2</v>
      </c>
      <c r="G316" s="1">
        <v>1536840437.06159</v>
      </c>
      <c r="H316">
        <f>I316-G316</f>
        <v>-1.7009973526000977E-2</v>
      </c>
      <c r="I316" s="1">
        <v>1536840437.04458</v>
      </c>
      <c r="K316">
        <f>I317-I316</f>
        <v>0.13633990287780762</v>
      </c>
      <c r="M316" s="1">
        <f t="shared" si="292"/>
        <v>8.0220098495483394E-2</v>
      </c>
      <c r="N316" s="2">
        <v>113</v>
      </c>
      <c r="O316" s="2" t="s">
        <v>17</v>
      </c>
    </row>
    <row r="317" spans="1:15" x14ac:dyDescent="0.45">
      <c r="B317">
        <v>8</v>
      </c>
      <c r="E317" s="1">
        <v>1536840437.17697</v>
      </c>
      <c r="F317" s="1">
        <f t="shared" ref="F317" si="339">E317-G317+0.13</f>
        <v>1.6719942092895512E-2</v>
      </c>
      <c r="G317" s="1">
        <v>1536840437.2902501</v>
      </c>
      <c r="H317">
        <f>G317-I317</f>
        <v>0.10933017730712891</v>
      </c>
      <c r="I317" s="1">
        <v>1536840437.1809199</v>
      </c>
      <c r="M317" s="1">
        <f t="shared" si="292"/>
        <v>0.12605011940002442</v>
      </c>
      <c r="N317" s="2">
        <v>104</v>
      </c>
      <c r="O317" s="2" t="s">
        <v>17</v>
      </c>
    </row>
    <row r="318" spans="1:15" x14ac:dyDescent="0.45">
      <c r="B318" t="s">
        <v>3</v>
      </c>
      <c r="C318">
        <f>C311+C313+C315</f>
        <v>0.23088979721069336</v>
      </c>
      <c r="F318">
        <f t="shared" ref="F318" si="340">SUM(F310:F317)</f>
        <v>0.36226034164428711</v>
      </c>
      <c r="H318">
        <f>SUM(H310:H317)</f>
        <v>1.1951198577880859</v>
      </c>
      <c r="K318">
        <f>K310+K312+K314+K316</f>
        <v>0.27394008636474609</v>
      </c>
      <c r="M318" t="s">
        <v>18</v>
      </c>
      <c r="N318" s="2" t="s">
        <v>10</v>
      </c>
      <c r="O318" s="2" t="s">
        <v>11</v>
      </c>
    </row>
    <row r="319" spans="1:15" x14ac:dyDescent="0.45">
      <c r="A319">
        <v>36</v>
      </c>
      <c r="B319">
        <v>1</v>
      </c>
      <c r="E319" s="1">
        <v>1536840439.3666799</v>
      </c>
      <c r="F319" s="1">
        <f t="shared" ref="F319" si="341">G319-E319-0.13</f>
        <v>0.10398017883300781</v>
      </c>
      <c r="G319" s="1">
        <v>1536840439.6006601</v>
      </c>
      <c r="H319">
        <f>I319-G319</f>
        <v>7.4349880218505859E-2</v>
      </c>
      <c r="I319" s="1">
        <v>1536840439.67501</v>
      </c>
      <c r="K319">
        <f>I320-I319</f>
        <v>6.1700344085693359E-3</v>
      </c>
      <c r="M319" s="1">
        <f t="shared" ref="M319:M321" si="342">F319+H319</f>
        <v>0.17833005905151367</v>
      </c>
      <c r="N319">
        <v>169</v>
      </c>
      <c r="O319" t="s">
        <v>12</v>
      </c>
    </row>
    <row r="320" spans="1:15" x14ac:dyDescent="0.45">
      <c r="B320">
        <v>2</v>
      </c>
      <c r="C320">
        <f>E321-E320</f>
        <v>1.707005500793457E-2</v>
      </c>
      <c r="E320" s="1">
        <v>1536840439.73683</v>
      </c>
      <c r="F320" s="1">
        <f t="shared" ref="F320" si="343">E320-G320+0.13</f>
        <v>1.2550001144409184E-2</v>
      </c>
      <c r="G320" s="1">
        <v>1536840439.85428</v>
      </c>
      <c r="H320">
        <f>G320-I320</f>
        <v>0.17309999465942383</v>
      </c>
      <c r="I320" s="1">
        <v>1536840439.68118</v>
      </c>
      <c r="M320" s="1">
        <f t="shared" si="342"/>
        <v>0.18564999580383301</v>
      </c>
      <c r="N320">
        <v>122</v>
      </c>
      <c r="O320" t="s">
        <v>13</v>
      </c>
    </row>
    <row r="321" spans="1:15" x14ac:dyDescent="0.45">
      <c r="B321">
        <v>3</v>
      </c>
      <c r="E321" s="1">
        <v>1536840439.7539001</v>
      </c>
      <c r="F321" s="1">
        <f t="shared" ref="F321" si="344">G321-E321-0.13</f>
        <v>9.8579998016357417E-2</v>
      </c>
      <c r="G321" s="1">
        <v>1536840439.98248</v>
      </c>
      <c r="H321">
        <f>I321-G321</f>
        <v>3.1219959259033203E-2</v>
      </c>
      <c r="I321" s="1">
        <v>1536840440.0137</v>
      </c>
      <c r="K321">
        <f>I322-I321</f>
        <v>4.8389911651611328E-2</v>
      </c>
      <c r="M321" s="1">
        <f t="shared" si="342"/>
        <v>0.12979995727539062</v>
      </c>
      <c r="N321">
        <v>201</v>
      </c>
      <c r="O321" t="s">
        <v>12</v>
      </c>
    </row>
    <row r="322" spans="1:15" x14ac:dyDescent="0.45">
      <c r="B322">
        <v>4</v>
      </c>
      <c r="C322">
        <f>E323-E322</f>
        <v>0.16407012939453125</v>
      </c>
      <c r="E322" s="1">
        <v>1536840440.3535399</v>
      </c>
      <c r="F322" s="1">
        <f t="shared" ref="F322" si="345">E322-G322+0.13</f>
        <v>-4.6210165023803706E-2</v>
      </c>
      <c r="G322" s="1">
        <v>1536840440.5297501</v>
      </c>
      <c r="H322">
        <f>G322-I322</f>
        <v>0.46766018867492676</v>
      </c>
      <c r="I322" s="1">
        <v>1536840440.0620899</v>
      </c>
      <c r="M322" s="1">
        <f t="shared" si="292"/>
        <v>0.42145002365112305</v>
      </c>
      <c r="N322">
        <v>616</v>
      </c>
      <c r="O322" t="s">
        <v>14</v>
      </c>
    </row>
    <row r="323" spans="1:15" x14ac:dyDescent="0.45">
      <c r="B323">
        <v>5</v>
      </c>
      <c r="E323" s="1">
        <v>1536840440.5176101</v>
      </c>
      <c r="F323" s="1">
        <f t="shared" ref="F323" si="346">G323-E323-0.13</f>
        <v>9.8539943695068355E-2</v>
      </c>
      <c r="G323" s="1">
        <v>1536840440.74615</v>
      </c>
      <c r="H323">
        <f>I323-G323</f>
        <v>0.21185994148254395</v>
      </c>
      <c r="I323" s="1">
        <v>1536840440.95801</v>
      </c>
      <c r="K323">
        <f>I324-I323</f>
        <v>9.1570138931274414E-2</v>
      </c>
      <c r="M323" s="1">
        <f t="shared" si="292"/>
        <v>0.3103998851776123</v>
      </c>
      <c r="N323">
        <v>438</v>
      </c>
      <c r="O323" t="s">
        <v>15</v>
      </c>
    </row>
    <row r="324" spans="1:15" x14ac:dyDescent="0.45">
      <c r="B324">
        <v>6</v>
      </c>
      <c r="C324">
        <f>E325-E324</f>
        <v>4.095005989074707E-2</v>
      </c>
      <c r="E324" s="1">
        <v>1536840441.06809</v>
      </c>
      <c r="F324" s="1">
        <f t="shared" ref="F324" si="347">E324-G324+0.13</f>
        <v>-7.0000839233398393E-3</v>
      </c>
      <c r="G324" s="1">
        <v>1536840441.20509</v>
      </c>
      <c r="H324">
        <f>G324-I324</f>
        <v>0.15550994873046875</v>
      </c>
      <c r="I324" s="1">
        <v>1536840441.0495801</v>
      </c>
      <c r="M324" s="1">
        <f t="shared" si="292"/>
        <v>0.14850986480712891</v>
      </c>
      <c r="N324">
        <v>129</v>
      </c>
      <c r="O324" t="s">
        <v>16</v>
      </c>
    </row>
    <row r="325" spans="1:15" x14ac:dyDescent="0.45">
      <c r="B325">
        <v>7</v>
      </c>
      <c r="E325" s="1">
        <v>1536840441.10904</v>
      </c>
      <c r="F325" s="1">
        <f t="shared" ref="F325" si="348">G325-E325-0.13</f>
        <v>9.9189872741699214E-2</v>
      </c>
      <c r="G325" s="1">
        <v>1536840441.3382299</v>
      </c>
      <c r="H325">
        <f>I325-G325</f>
        <v>2.6720046997070313E-2</v>
      </c>
      <c r="I325" s="1">
        <v>1536840441.3649499</v>
      </c>
      <c r="K325">
        <f>I326-I325</f>
        <v>0.13601016998291016</v>
      </c>
      <c r="M325" s="1">
        <f t="shared" si="292"/>
        <v>0.12590991973876953</v>
      </c>
      <c r="N325">
        <v>113</v>
      </c>
      <c r="O325" t="s">
        <v>17</v>
      </c>
    </row>
    <row r="326" spans="1:15" x14ac:dyDescent="0.45">
      <c r="B326">
        <v>8</v>
      </c>
      <c r="E326" s="1">
        <v>1536840441.4798501</v>
      </c>
      <c r="F326" s="1">
        <f t="shared" ref="F326" si="349">E326-G326+0.13</f>
        <v>-2.5998306274414018E-3</v>
      </c>
      <c r="G326" s="1">
        <v>1536840441.6124499</v>
      </c>
      <c r="H326">
        <f>G326-I326</f>
        <v>0.11148977279663086</v>
      </c>
      <c r="I326" s="1">
        <v>1536840441.5009601</v>
      </c>
      <c r="M326" s="1">
        <f t="shared" si="292"/>
        <v>0.10888994216918946</v>
      </c>
      <c r="N326">
        <v>104</v>
      </c>
      <c r="O326" t="s">
        <v>17</v>
      </c>
    </row>
    <row r="327" spans="1:15" x14ac:dyDescent="0.45">
      <c r="B327" t="s">
        <v>3</v>
      </c>
      <c r="C327">
        <f>C320+C322+C324</f>
        <v>0.22209024429321289</v>
      </c>
      <c r="F327">
        <f t="shared" ref="F327" si="350">SUM(F319:F326)</f>
        <v>0.35702991485595703</v>
      </c>
      <c r="H327">
        <f>SUM(H319:H326)</f>
        <v>1.2519097328186035</v>
      </c>
      <c r="K327">
        <f>K319+K321+K323+K325</f>
        <v>0.28214025497436523</v>
      </c>
      <c r="M327" t="s">
        <v>18</v>
      </c>
      <c r="N327" t="s">
        <v>10</v>
      </c>
      <c r="O327" t="s">
        <v>11</v>
      </c>
    </row>
    <row r="328" spans="1:15" x14ac:dyDescent="0.45">
      <c r="A328">
        <v>37</v>
      </c>
      <c r="B328">
        <v>1</v>
      </c>
      <c r="E328" s="1">
        <v>1536840447.2209899</v>
      </c>
      <c r="F328" s="1">
        <f t="shared" ref="F328" si="351">G328-E328-0.13</f>
        <v>0.10791003227233886</v>
      </c>
      <c r="G328" s="1">
        <v>1536840447.4589</v>
      </c>
      <c r="H328">
        <f>I328-G328</f>
        <v>4.6790122985839844E-2</v>
      </c>
      <c r="I328" s="1">
        <v>1536840447.5056901</v>
      </c>
      <c r="K328">
        <f>I329-I328</f>
        <v>7.0798397064208984E-3</v>
      </c>
      <c r="M328" s="1">
        <f t="shared" ref="M328:M330" si="352">F328+H328</f>
        <v>0.15470015525817871</v>
      </c>
      <c r="N328" s="2">
        <v>169</v>
      </c>
      <c r="O328" s="2" t="s">
        <v>12</v>
      </c>
    </row>
    <row r="329" spans="1:15" x14ac:dyDescent="0.45">
      <c r="B329">
        <v>2</v>
      </c>
      <c r="C329">
        <f>E330-E329</f>
        <v>3.8001537322998047E-3</v>
      </c>
      <c r="E329" s="1">
        <v>1536840447.5194399</v>
      </c>
      <c r="F329" s="1">
        <f t="shared" ref="F329" si="353">E329-G329+0.13</f>
        <v>-3.881012916564941E-2</v>
      </c>
      <c r="G329" s="1">
        <v>1536840447.6882501</v>
      </c>
      <c r="H329">
        <f>G329-I329</f>
        <v>0.17548012733459473</v>
      </c>
      <c r="I329" s="1">
        <v>1536840447.5127699</v>
      </c>
      <c r="M329" s="1">
        <f t="shared" si="352"/>
        <v>0.13666999816894532</v>
      </c>
      <c r="N329" s="2">
        <v>122</v>
      </c>
      <c r="O329" s="2" t="s">
        <v>13</v>
      </c>
    </row>
    <row r="330" spans="1:15" x14ac:dyDescent="0.45">
      <c r="B330">
        <v>3</v>
      </c>
      <c r="E330" s="1">
        <v>1536840447.5232401</v>
      </c>
      <c r="F330" s="1">
        <f t="shared" ref="F330" si="354">G330-E330-0.13</f>
        <v>0.10225998878479003</v>
      </c>
      <c r="G330" s="1">
        <v>1536840447.7555001</v>
      </c>
      <c r="H330">
        <f>I330-G330</f>
        <v>8.8869810104370117E-2</v>
      </c>
      <c r="I330" s="1">
        <v>1536840447.8443699</v>
      </c>
      <c r="K330">
        <f>I331-I330</f>
        <v>4.7670125961303711E-2</v>
      </c>
      <c r="M330" s="1">
        <f t="shared" si="352"/>
        <v>0.19112979888916015</v>
      </c>
      <c r="N330" s="2">
        <v>201</v>
      </c>
      <c r="O330" s="2" t="s">
        <v>12</v>
      </c>
    </row>
    <row r="331" spans="1:15" x14ac:dyDescent="0.45">
      <c r="B331">
        <v>4</v>
      </c>
      <c r="C331">
        <f>E332-E331</f>
        <v>0.1609799861907959</v>
      </c>
      <c r="E331" s="1">
        <v>1536840448.13392</v>
      </c>
      <c r="F331" s="1">
        <f t="shared" ref="F331" si="355">E331-G331+0.13</f>
        <v>-3.4319992065429683E-2</v>
      </c>
      <c r="G331" s="1">
        <v>1536840448.2982399</v>
      </c>
      <c r="H331">
        <f>G331-I331</f>
        <v>0.40619993209838867</v>
      </c>
      <c r="I331" s="1">
        <v>1536840447.89204</v>
      </c>
      <c r="M331" s="1">
        <f t="shared" si="292"/>
        <v>0.37187994003295899</v>
      </c>
      <c r="N331" s="2">
        <v>616</v>
      </c>
      <c r="O331" s="2" t="s">
        <v>14</v>
      </c>
    </row>
    <row r="332" spans="1:15" x14ac:dyDescent="0.45">
      <c r="B332">
        <v>5</v>
      </c>
      <c r="E332" s="1">
        <v>1536840448.2948999</v>
      </c>
      <c r="F332" s="1">
        <f t="shared" ref="F332" si="356">G332-E332-0.13</f>
        <v>0.10248004913330078</v>
      </c>
      <c r="G332" s="1">
        <v>1536840448.52738</v>
      </c>
      <c r="H332">
        <f>I332-G332</f>
        <v>0.19448995590209961</v>
      </c>
      <c r="I332" s="1">
        <v>1536840448.7218699</v>
      </c>
      <c r="K332">
        <f>I333-I332</f>
        <v>9.5849990844726563E-2</v>
      </c>
      <c r="M332" s="1">
        <f t="shared" si="292"/>
        <v>0.29697000503540039</v>
      </c>
      <c r="N332" s="2">
        <v>438</v>
      </c>
      <c r="O332" s="2" t="s">
        <v>15</v>
      </c>
    </row>
    <row r="333" spans="1:15" x14ac:dyDescent="0.45">
      <c r="B333">
        <v>6</v>
      </c>
      <c r="C333">
        <f>E334-E333</f>
        <v>4.3849945068359375E-2</v>
      </c>
      <c r="E333" s="1">
        <v>1536840448.8501999</v>
      </c>
      <c r="F333" s="1">
        <f t="shared" ref="F333" si="357">E333-G333+0.13</f>
        <v>8.6799907684326216E-3</v>
      </c>
      <c r="G333" s="1">
        <v>1536840448.9715199</v>
      </c>
      <c r="H333">
        <f>G333-I333</f>
        <v>0.15380001068115234</v>
      </c>
      <c r="I333" s="1">
        <v>1536840448.8177199</v>
      </c>
      <c r="M333" s="1">
        <f t="shared" si="292"/>
        <v>0.16248000144958497</v>
      </c>
      <c r="N333" s="2">
        <v>129</v>
      </c>
      <c r="O333" s="2" t="s">
        <v>16</v>
      </c>
    </row>
    <row r="334" spans="1:15" x14ac:dyDescent="0.45">
      <c r="B334">
        <v>7</v>
      </c>
      <c r="E334" s="1">
        <v>1536840448.8940499</v>
      </c>
      <c r="F334" s="1">
        <f t="shared" ref="F334" si="358">G334-E334-0.13</f>
        <v>0.103140230178833</v>
      </c>
      <c r="G334" s="1">
        <v>1536840449.1271901</v>
      </c>
      <c r="H334">
        <f>I334-G334</f>
        <v>9.3984603881835938E-4</v>
      </c>
      <c r="I334" s="1">
        <v>1536840449.12813</v>
      </c>
      <c r="K334">
        <f>I335-I334</f>
        <v>0.13659000396728516</v>
      </c>
      <c r="M334" s="1">
        <f t="shared" si="292"/>
        <v>0.10408007621765136</v>
      </c>
      <c r="N334" s="2">
        <v>113</v>
      </c>
      <c r="O334" s="2" t="s">
        <v>17</v>
      </c>
    </row>
    <row r="335" spans="1:15" x14ac:dyDescent="0.45">
      <c r="B335">
        <v>8</v>
      </c>
      <c r="E335" s="1">
        <v>1536840449.26056</v>
      </c>
      <c r="F335" s="1">
        <f t="shared" ref="F335" si="359">E335-G335+0.13</f>
        <v>1.1680011749267583E-2</v>
      </c>
      <c r="G335" s="1">
        <v>1536840449.37888</v>
      </c>
      <c r="H335">
        <f>G335-I335</f>
        <v>0.11416006088256836</v>
      </c>
      <c r="I335" s="1">
        <v>1536840449.26472</v>
      </c>
      <c r="M335" s="1">
        <f t="shared" si="292"/>
        <v>0.12584007263183594</v>
      </c>
      <c r="N335" s="2">
        <v>104</v>
      </c>
      <c r="O335" s="2" t="s">
        <v>17</v>
      </c>
    </row>
    <row r="336" spans="1:15" x14ac:dyDescent="0.45">
      <c r="B336" t="s">
        <v>3</v>
      </c>
      <c r="C336">
        <f>C329+C331+C333</f>
        <v>0.20863008499145508</v>
      </c>
      <c r="F336">
        <f t="shared" ref="F336" si="360">SUM(F328:F335)</f>
        <v>0.36302018165588379</v>
      </c>
      <c r="H336">
        <f>SUM(H328:H335)</f>
        <v>1.180729866027832</v>
      </c>
      <c r="K336">
        <f>K328+K330+K332+K334</f>
        <v>0.28718996047973633</v>
      </c>
      <c r="M336" t="s">
        <v>18</v>
      </c>
      <c r="N336" s="2" t="s">
        <v>10</v>
      </c>
      <c r="O336" s="2" t="s">
        <v>11</v>
      </c>
    </row>
    <row r="337" spans="1:15" x14ac:dyDescent="0.45">
      <c r="A337">
        <v>38</v>
      </c>
      <c r="B337">
        <v>1</v>
      </c>
      <c r="E337" s="1">
        <v>1536840451.98072</v>
      </c>
      <c r="F337" s="1">
        <f t="shared" ref="F337" si="361">G337-E337-0.13</f>
        <v>0.10950004577636718</v>
      </c>
      <c r="G337" s="1">
        <v>1536840452.2202201</v>
      </c>
      <c r="H337">
        <f>I337-G337</f>
        <v>7.8369855880737305E-2</v>
      </c>
      <c r="I337" s="1">
        <v>1536840452.2985899</v>
      </c>
      <c r="K337">
        <f>I338-I337</f>
        <v>6.1099529266357422E-3</v>
      </c>
      <c r="M337" s="1">
        <f t="shared" ref="M337:M398" si="362">F337+H337</f>
        <v>0.18786990165710449</v>
      </c>
      <c r="N337">
        <v>169</v>
      </c>
      <c r="O337" t="s">
        <v>12</v>
      </c>
    </row>
    <row r="338" spans="1:15" x14ac:dyDescent="0.45">
      <c r="B338">
        <v>2</v>
      </c>
      <c r="C338">
        <f>E339-E338</f>
        <v>2.6089906692504883E-2</v>
      </c>
      <c r="E338" s="1">
        <v>1536840452.33535</v>
      </c>
      <c r="F338" s="1">
        <f t="shared" ref="F338" si="363">E338-G338+0.13</f>
        <v>-1.7830009460449214E-2</v>
      </c>
      <c r="G338" s="1">
        <v>1536840452.48318</v>
      </c>
      <c r="H338">
        <f>G338-I338</f>
        <v>0.17848014831542969</v>
      </c>
      <c r="I338" s="1">
        <v>1536840452.3046999</v>
      </c>
      <c r="M338" s="1">
        <f t="shared" si="362"/>
        <v>0.16065013885498047</v>
      </c>
      <c r="N338">
        <v>122</v>
      </c>
      <c r="O338" t="s">
        <v>13</v>
      </c>
    </row>
    <row r="339" spans="1:15" x14ac:dyDescent="0.45">
      <c r="B339">
        <v>3</v>
      </c>
      <c r="E339" s="1">
        <v>1536840452.3614399</v>
      </c>
      <c r="F339" s="1">
        <f t="shared" ref="F339" si="364">G339-E339-0.13</f>
        <v>0.10446011543273925</v>
      </c>
      <c r="G339" s="1">
        <v>1536840452.5959001</v>
      </c>
      <c r="H339">
        <f>I339-G339</f>
        <v>4.1379928588867188E-2</v>
      </c>
      <c r="I339" s="1">
        <v>1536840452.63728</v>
      </c>
      <c r="K339">
        <f>I340-I339</f>
        <v>4.8919916152954102E-2</v>
      </c>
      <c r="M339" s="1">
        <f t="shared" si="362"/>
        <v>0.14584004402160644</v>
      </c>
      <c r="N339">
        <v>201</v>
      </c>
      <c r="O339" t="s">
        <v>12</v>
      </c>
    </row>
    <row r="340" spans="1:15" x14ac:dyDescent="0.45">
      <c r="B340">
        <v>4</v>
      </c>
      <c r="C340">
        <f>E341-E340</f>
        <v>0.17096996307373047</v>
      </c>
      <c r="E340" s="1">
        <v>1536840452.94627</v>
      </c>
      <c r="F340" s="1">
        <f t="shared" ref="F340" si="365">E340-G340+0.13</f>
        <v>-1.6889925003051753E-2</v>
      </c>
      <c r="G340" s="1">
        <v>1536840453.0931599</v>
      </c>
      <c r="H340">
        <f>G340-I340</f>
        <v>0.40696001052856445</v>
      </c>
      <c r="I340" s="1">
        <v>1536840452.6861999</v>
      </c>
      <c r="M340" s="1">
        <f t="shared" si="362"/>
        <v>0.3900700855255127</v>
      </c>
      <c r="N340">
        <v>616</v>
      </c>
      <c r="O340" t="s">
        <v>14</v>
      </c>
    </row>
    <row r="341" spans="1:15" x14ac:dyDescent="0.45">
      <c r="B341">
        <v>5</v>
      </c>
      <c r="E341" s="1">
        <v>1536840453.11724</v>
      </c>
      <c r="F341" s="1">
        <f t="shared" ref="F341" si="366">G341-E341-0.13</f>
        <v>0.10523998260498046</v>
      </c>
      <c r="G341" s="1">
        <v>1536840453.3524799</v>
      </c>
      <c r="H341">
        <f>I341-G341</f>
        <v>0.16409015655517578</v>
      </c>
      <c r="I341" s="1">
        <v>1536840453.5165701</v>
      </c>
      <c r="K341">
        <f>I342-I341</f>
        <v>8.0240011215209961E-2</v>
      </c>
      <c r="M341" s="1">
        <f t="shared" si="362"/>
        <v>0.26933013916015625</v>
      </c>
      <c r="N341">
        <v>438</v>
      </c>
      <c r="O341" t="s">
        <v>15</v>
      </c>
    </row>
    <row r="342" spans="1:15" x14ac:dyDescent="0.45">
      <c r="B342">
        <v>6</v>
      </c>
      <c r="C342">
        <f>E343-E342</f>
        <v>5.6030035018920898E-2</v>
      </c>
      <c r="E342" s="1">
        <v>1536840453.5616801</v>
      </c>
      <c r="F342" s="1">
        <f t="shared" ref="F342" si="367">E342-G342+0.13</f>
        <v>-7.4769849777221675E-2</v>
      </c>
      <c r="G342" s="1">
        <v>1536840453.7664499</v>
      </c>
      <c r="H342">
        <f>G342-I342</f>
        <v>0.16963982582092285</v>
      </c>
      <c r="I342" s="1">
        <v>1536840453.5968101</v>
      </c>
      <c r="M342" s="1">
        <f t="shared" si="362"/>
        <v>9.4869976043701176E-2</v>
      </c>
      <c r="N342">
        <v>129</v>
      </c>
      <c r="O342" t="s">
        <v>16</v>
      </c>
    </row>
    <row r="343" spans="1:15" x14ac:dyDescent="0.45">
      <c r="B343">
        <v>7</v>
      </c>
      <c r="E343" s="1">
        <v>1536840453.6177101</v>
      </c>
      <c r="F343" s="1">
        <f t="shared" ref="F343" si="368">G343-E343-0.13</f>
        <v>0.10499989509582519</v>
      </c>
      <c r="G343" s="1">
        <v>1536840453.85271</v>
      </c>
      <c r="H343">
        <f>I343-G343</f>
        <v>8.1992149353027344E-4</v>
      </c>
      <c r="I343" s="1">
        <v>1536840453.8535299</v>
      </c>
      <c r="K343">
        <f>I344-I343</f>
        <v>0.13550996780395508</v>
      </c>
      <c r="M343" s="1">
        <f t="shared" si="362"/>
        <v>0.10581981658935546</v>
      </c>
      <c r="N343">
        <v>113</v>
      </c>
      <c r="O343" t="s">
        <v>17</v>
      </c>
    </row>
    <row r="344" spans="1:15" x14ac:dyDescent="0.45">
      <c r="B344">
        <v>8</v>
      </c>
      <c r="E344" s="1">
        <v>1536840453.9712701</v>
      </c>
      <c r="F344" s="1">
        <f t="shared" ref="F344" si="369">E344-G344+0.13</f>
        <v>-4.9899768829345659E-3</v>
      </c>
      <c r="G344" s="1">
        <v>1536840454.1062601</v>
      </c>
      <c r="H344">
        <f>G344-I344</f>
        <v>0.11722016334533691</v>
      </c>
      <c r="I344" s="1">
        <v>1536840453.9890399</v>
      </c>
      <c r="M344" s="1">
        <f t="shared" si="362"/>
        <v>0.11223018646240235</v>
      </c>
      <c r="N344">
        <v>104</v>
      </c>
      <c r="O344" t="s">
        <v>17</v>
      </c>
    </row>
    <row r="345" spans="1:15" x14ac:dyDescent="0.45">
      <c r="B345" t="s">
        <v>3</v>
      </c>
      <c r="C345">
        <f>C338+C340+C342</f>
        <v>0.25308990478515625</v>
      </c>
      <c r="F345">
        <f t="shared" ref="F345" si="370">SUM(F337:F344)</f>
        <v>0.30972027778625488</v>
      </c>
      <c r="H345">
        <f>SUM(H337:H344)</f>
        <v>1.1569600105285645</v>
      </c>
      <c r="K345">
        <f>K337+K339+K341+K343</f>
        <v>0.27077984809875488</v>
      </c>
      <c r="M345" t="s">
        <v>18</v>
      </c>
      <c r="N345" t="s">
        <v>10</v>
      </c>
      <c r="O345" t="s">
        <v>11</v>
      </c>
    </row>
    <row r="346" spans="1:15" x14ac:dyDescent="0.45">
      <c r="A346">
        <v>39</v>
      </c>
      <c r="B346">
        <v>1</v>
      </c>
      <c r="E346" s="1">
        <v>1536840457.6586699</v>
      </c>
      <c r="F346" s="1">
        <f t="shared" ref="F346" si="371">G346-E346-0.13</f>
        <v>0.11311995506286621</v>
      </c>
      <c r="G346" s="1">
        <v>1536840457.9017899</v>
      </c>
      <c r="H346">
        <f>I346-G346</f>
        <v>6.7300081253051758E-2</v>
      </c>
      <c r="I346" s="1">
        <v>1536840457.96909</v>
      </c>
      <c r="K346">
        <f>I347-I346</f>
        <v>6.0899257659912109E-3</v>
      </c>
      <c r="M346" s="1">
        <f t="shared" ref="M346:M348" si="372">F346+H346</f>
        <v>0.18042003631591796</v>
      </c>
      <c r="N346" s="2">
        <v>169</v>
      </c>
      <c r="O346" s="2" t="s">
        <v>12</v>
      </c>
    </row>
    <row r="347" spans="1:15" x14ac:dyDescent="0.45">
      <c r="B347">
        <v>2</v>
      </c>
      <c r="C347">
        <f>E348-E347</f>
        <v>2.0290136337280273E-2</v>
      </c>
      <c r="E347" s="1">
        <v>1536840457.96696</v>
      </c>
      <c r="F347" s="1">
        <f t="shared" ref="F347" si="373">E347-G347+0.13</f>
        <v>-5.9069986343383785E-2</v>
      </c>
      <c r="G347" s="1">
        <v>1536840458.1560299</v>
      </c>
      <c r="H347">
        <f>G347-I347</f>
        <v>0.18085002899169922</v>
      </c>
      <c r="I347" s="1">
        <v>1536840457.9751799</v>
      </c>
      <c r="M347" s="1">
        <f t="shared" si="372"/>
        <v>0.12178004264831543</v>
      </c>
      <c r="N347" s="2">
        <v>122</v>
      </c>
      <c r="O347" s="2" t="s">
        <v>13</v>
      </c>
    </row>
    <row r="348" spans="1:15" x14ac:dyDescent="0.45">
      <c r="B348">
        <v>3</v>
      </c>
      <c r="E348" s="1">
        <v>1536840457.9872501</v>
      </c>
      <c r="F348" s="1">
        <f t="shared" ref="F348" si="374">G348-E348-0.13</f>
        <v>0.10752999305725097</v>
      </c>
      <c r="G348" s="1">
        <v>1536840458.2247801</v>
      </c>
      <c r="H348">
        <f>I348-G348</f>
        <v>8.2999944686889648E-2</v>
      </c>
      <c r="I348" s="1">
        <v>1536840458.30778</v>
      </c>
      <c r="K348">
        <f>I349-I348</f>
        <v>5.33599853515625E-2</v>
      </c>
      <c r="M348" s="1">
        <f t="shared" si="372"/>
        <v>0.19052993774414062</v>
      </c>
      <c r="N348" s="2">
        <v>201</v>
      </c>
      <c r="O348" s="2" t="s">
        <v>12</v>
      </c>
    </row>
    <row r="349" spans="1:15" x14ac:dyDescent="0.45">
      <c r="B349">
        <v>4</v>
      </c>
      <c r="C349">
        <f>E350-E349</f>
        <v>5.9020042419433594E-2</v>
      </c>
      <c r="E349" s="1">
        <v>1536840458.5799699</v>
      </c>
      <c r="F349" s="1">
        <f t="shared" ref="F349" si="375">E349-G349+0.13</f>
        <v>-5.6050176620483394E-2</v>
      </c>
      <c r="G349" s="1">
        <v>1536840458.7660201</v>
      </c>
      <c r="H349">
        <f>G349-I349</f>
        <v>0.40488004684448242</v>
      </c>
      <c r="I349" s="1">
        <v>1536840458.36114</v>
      </c>
      <c r="M349" s="1">
        <f t="shared" si="362"/>
        <v>0.34882987022399903</v>
      </c>
      <c r="N349" s="2">
        <v>616</v>
      </c>
      <c r="O349" s="2" t="s">
        <v>14</v>
      </c>
    </row>
    <row r="350" spans="1:15" x14ac:dyDescent="0.45">
      <c r="B350">
        <v>5</v>
      </c>
      <c r="E350" s="1">
        <v>1536840458.6389899</v>
      </c>
      <c r="F350" s="1">
        <f t="shared" ref="F350" si="376">G350-E350-0.13</f>
        <v>0.10800015449523925</v>
      </c>
      <c r="G350" s="1">
        <v>1536840458.8769901</v>
      </c>
      <c r="H350">
        <f>I350-G350</f>
        <v>0.17323994636535645</v>
      </c>
      <c r="I350" s="1">
        <v>1536840459.05023</v>
      </c>
      <c r="K350">
        <f>I351-I350</f>
        <v>9.2599868774414063E-2</v>
      </c>
      <c r="M350" s="1">
        <f t="shared" si="362"/>
        <v>0.2812401008605957</v>
      </c>
      <c r="N350" s="2">
        <v>438</v>
      </c>
      <c r="O350" s="2" t="s">
        <v>15</v>
      </c>
    </row>
    <row r="351" spans="1:15" x14ac:dyDescent="0.45">
      <c r="B351">
        <v>6</v>
      </c>
      <c r="C351">
        <f>E352-E351</f>
        <v>3.8160085678100586E-2</v>
      </c>
      <c r="E351" s="1">
        <v>1536840459.0905099</v>
      </c>
      <c r="F351" s="1">
        <f t="shared" ref="F351" si="377">E351-G351+0.13</f>
        <v>-8.3730096817016597E-2</v>
      </c>
      <c r="G351" s="1">
        <v>1536840459.30424</v>
      </c>
      <c r="H351">
        <f>G351-I351</f>
        <v>0.16141009330749512</v>
      </c>
      <c r="I351" s="1">
        <v>1536840459.1428299</v>
      </c>
      <c r="M351" s="1">
        <f t="shared" si="362"/>
        <v>7.767999649047852E-2</v>
      </c>
      <c r="N351" s="2">
        <v>129</v>
      </c>
      <c r="O351" s="2" t="s">
        <v>16</v>
      </c>
    </row>
    <row r="352" spans="1:15" x14ac:dyDescent="0.45">
      <c r="B352">
        <v>7</v>
      </c>
      <c r="E352" s="1">
        <v>1536840459.12867</v>
      </c>
      <c r="F352" s="1">
        <f t="shared" ref="F352" si="378">G352-E352-0.13</f>
        <v>0.10776006698608398</v>
      </c>
      <c r="G352" s="1">
        <v>1536840459.36643</v>
      </c>
      <c r="H352">
        <f>I352-G352</f>
        <v>-4.4919967651367188E-2</v>
      </c>
      <c r="I352" s="1">
        <v>1536840459.3215101</v>
      </c>
      <c r="K352">
        <f>I353-I352</f>
        <v>0.13626003265380859</v>
      </c>
      <c r="M352" s="1">
        <f t="shared" si="362"/>
        <v>6.2840099334716792E-2</v>
      </c>
      <c r="N352" s="2">
        <v>113</v>
      </c>
      <c r="O352" s="2" t="s">
        <v>17</v>
      </c>
    </row>
    <row r="353" spans="1:15" x14ac:dyDescent="0.45">
      <c r="B353">
        <v>8</v>
      </c>
      <c r="E353" s="1">
        <v>1536840459.4003</v>
      </c>
      <c r="F353" s="1">
        <f t="shared" ref="F353" si="379">E353-G353+0.13</f>
        <v>-4.6229953765869136E-2</v>
      </c>
      <c r="G353" s="1">
        <v>1536840459.57653</v>
      </c>
      <c r="H353">
        <f>G353-I353</f>
        <v>0.1187598705291748</v>
      </c>
      <c r="I353" s="1">
        <v>1536840459.4577701</v>
      </c>
      <c r="M353" s="1">
        <f t="shared" si="362"/>
        <v>7.2529916763305669E-2</v>
      </c>
      <c r="N353" s="2">
        <v>104</v>
      </c>
      <c r="O353" s="2" t="s">
        <v>17</v>
      </c>
    </row>
    <row r="354" spans="1:15" x14ac:dyDescent="0.45">
      <c r="B354" t="s">
        <v>3</v>
      </c>
      <c r="C354">
        <f>C347+C349+C351</f>
        <v>0.11747026443481445</v>
      </c>
      <c r="F354">
        <f t="shared" ref="F354" si="380">SUM(F346:F353)</f>
        <v>0.1913299560546875</v>
      </c>
      <c r="H354">
        <f>SUM(H346:H353)</f>
        <v>1.1445200443267822</v>
      </c>
      <c r="K354">
        <f>K346+K348+K350+K352</f>
        <v>0.28830981254577637</v>
      </c>
      <c r="M354" t="s">
        <v>18</v>
      </c>
      <c r="N354" s="2" t="s">
        <v>10</v>
      </c>
      <c r="O354" s="2" t="s">
        <v>11</v>
      </c>
    </row>
    <row r="355" spans="1:15" x14ac:dyDescent="0.45">
      <c r="A355">
        <v>40</v>
      </c>
      <c r="B355">
        <v>1</v>
      </c>
      <c r="E355" s="1">
        <v>1536840462.2035799</v>
      </c>
      <c r="F355" s="1">
        <f t="shared" ref="F355" si="381">G355-E355-0.13</f>
        <v>0.11468016624450683</v>
      </c>
      <c r="G355" s="1">
        <v>1536840462.4482601</v>
      </c>
      <c r="H355">
        <f>I355-G355</f>
        <v>4.3709993362426758E-2</v>
      </c>
      <c r="I355" s="1">
        <v>1536840462.4919701</v>
      </c>
      <c r="K355">
        <f>I356-I355</f>
        <v>6.2799453735351563E-3</v>
      </c>
      <c r="M355" s="1">
        <f t="shared" ref="M355:M357" si="382">F355+H355</f>
        <v>0.15839015960693359</v>
      </c>
      <c r="N355">
        <v>169</v>
      </c>
      <c r="O355" t="s">
        <v>12</v>
      </c>
    </row>
    <row r="356" spans="1:15" x14ac:dyDescent="0.45">
      <c r="B356">
        <v>2</v>
      </c>
      <c r="C356">
        <f>E357-E356</f>
        <v>2.1169900894165039E-2</v>
      </c>
      <c r="E356" s="1">
        <v>1536840462.47087</v>
      </c>
      <c r="F356" s="1">
        <f t="shared" ref="F356" si="383">E356-G356+0.13</f>
        <v>-7.9939956665039058E-2</v>
      </c>
      <c r="G356" s="1">
        <v>1536840462.68081</v>
      </c>
      <c r="H356">
        <f>G356-I356</f>
        <v>0.18255996704101563</v>
      </c>
      <c r="I356" s="1">
        <v>1536840462.49825</v>
      </c>
      <c r="M356" s="1">
        <f t="shared" si="382"/>
        <v>0.10262001037597657</v>
      </c>
      <c r="N356">
        <v>122</v>
      </c>
      <c r="O356" t="s">
        <v>13</v>
      </c>
    </row>
    <row r="357" spans="1:15" x14ac:dyDescent="0.45">
      <c r="B357">
        <v>3</v>
      </c>
      <c r="E357" s="1">
        <v>1536840462.4920399</v>
      </c>
      <c r="F357" s="1">
        <f t="shared" ref="F357" si="384">G357-E357-0.13</f>
        <v>0.11146008491516113</v>
      </c>
      <c r="G357" s="1">
        <v>1536840462.7335</v>
      </c>
      <c r="H357">
        <f>I357-G357</f>
        <v>2.9649972915649414E-2</v>
      </c>
      <c r="I357" s="1">
        <v>1536840462.76315</v>
      </c>
      <c r="K357">
        <f>I358-I357</f>
        <v>4.7310113906860352E-2</v>
      </c>
      <c r="M357" s="1">
        <f t="shared" si="382"/>
        <v>0.14111005783081054</v>
      </c>
      <c r="N357">
        <v>201</v>
      </c>
      <c r="O357" t="s">
        <v>12</v>
      </c>
    </row>
    <row r="358" spans="1:15" x14ac:dyDescent="0.45">
      <c r="B358">
        <v>4</v>
      </c>
      <c r="C358">
        <f>E359-E358</f>
        <v>0.14812994003295898</v>
      </c>
      <c r="E358" s="1">
        <v>1536840463.08709</v>
      </c>
      <c r="F358" s="1">
        <f t="shared" ref="F358" si="385">E358-G358+0.13</f>
        <v>-6.1598968505859331E-3</v>
      </c>
      <c r="G358" s="1">
        <v>1536840463.2232499</v>
      </c>
      <c r="H358">
        <f>G358-I358</f>
        <v>0.41278982162475586</v>
      </c>
      <c r="I358" s="1">
        <v>1536840462.8104601</v>
      </c>
      <c r="M358" s="1">
        <f t="shared" si="362"/>
        <v>0.40662992477416993</v>
      </c>
      <c r="N358">
        <v>616</v>
      </c>
      <c r="O358" t="s">
        <v>14</v>
      </c>
    </row>
    <row r="359" spans="1:15" x14ac:dyDescent="0.45">
      <c r="B359">
        <v>5</v>
      </c>
      <c r="E359" s="1">
        <v>1536840463.23522</v>
      </c>
      <c r="F359" s="1">
        <f t="shared" ref="F359" si="386">G359-E359-0.13</f>
        <v>0.11026012420654296</v>
      </c>
      <c r="G359" s="1">
        <v>1536840463.4754801</v>
      </c>
      <c r="H359">
        <f>I359-G359</f>
        <v>0.16453003883361816</v>
      </c>
      <c r="I359" s="1">
        <v>1536840463.6400101</v>
      </c>
      <c r="K359">
        <f>I360-I359</f>
        <v>7.9539775848388672E-2</v>
      </c>
      <c r="M359" s="1">
        <f t="shared" si="362"/>
        <v>0.27479016304016113</v>
      </c>
      <c r="N359">
        <v>438</v>
      </c>
      <c r="O359" t="s">
        <v>15</v>
      </c>
    </row>
    <row r="360" spans="1:15" x14ac:dyDescent="0.45">
      <c r="B360">
        <v>6</v>
      </c>
      <c r="C360">
        <f>E361-E360</f>
        <v>3.9609909057617188E-2</v>
      </c>
      <c r="E360" s="1">
        <v>1536840463.69926</v>
      </c>
      <c r="F360" s="1">
        <f t="shared" ref="F360" si="387">E360-G360+0.13</f>
        <v>-6.7289943695068355E-2</v>
      </c>
      <c r="G360" s="1">
        <v>1536840463.8965499</v>
      </c>
      <c r="H360">
        <f>G360-I360</f>
        <v>0.17700004577636719</v>
      </c>
      <c r="I360" s="1">
        <v>1536840463.7195499</v>
      </c>
      <c r="M360" s="1">
        <f t="shared" si="362"/>
        <v>0.10971010208129883</v>
      </c>
      <c r="N360">
        <v>129</v>
      </c>
      <c r="O360" t="s">
        <v>16</v>
      </c>
    </row>
    <row r="361" spans="1:15" x14ac:dyDescent="0.45">
      <c r="B361">
        <v>7</v>
      </c>
      <c r="E361" s="1">
        <v>1536840463.7388699</v>
      </c>
      <c r="F361" s="1">
        <f t="shared" ref="F361" si="388">G361-E361-0.13</f>
        <v>0.11011015892028808</v>
      </c>
      <c r="G361" s="1">
        <v>1536840463.9789801</v>
      </c>
      <c r="H361">
        <f>I361-G361</f>
        <v>4.2986869812011719E-4</v>
      </c>
      <c r="I361" s="1">
        <v>1536840463.9794099</v>
      </c>
      <c r="K361">
        <f>I362-I361</f>
        <v>0.13550996780395508</v>
      </c>
      <c r="M361" s="1">
        <f t="shared" si="362"/>
        <v>0.1105400276184082</v>
      </c>
      <c r="N361">
        <v>113</v>
      </c>
      <c r="O361" t="s">
        <v>17</v>
      </c>
    </row>
    <row r="362" spans="1:15" x14ac:dyDescent="0.45">
      <c r="B362">
        <v>8</v>
      </c>
      <c r="E362" s="1">
        <v>1536840464.1110101</v>
      </c>
      <c r="F362" s="1">
        <f t="shared" ref="F362" si="389">E362-G362+0.13</f>
        <v>4.6299743652343794E-3</v>
      </c>
      <c r="G362" s="1">
        <v>1536840464.2363801</v>
      </c>
      <c r="H362">
        <f>G362-I362</f>
        <v>0.1214601993560791</v>
      </c>
      <c r="I362" s="1">
        <v>1536840464.1149199</v>
      </c>
      <c r="M362" s="1">
        <f t="shared" si="362"/>
        <v>0.12609017372131348</v>
      </c>
      <c r="N362">
        <v>104</v>
      </c>
      <c r="O362" t="s">
        <v>17</v>
      </c>
    </row>
    <row r="363" spans="1:15" x14ac:dyDescent="0.45">
      <c r="B363" t="s">
        <v>3</v>
      </c>
      <c r="C363">
        <f>C356+C358+C360</f>
        <v>0.20890974998474121</v>
      </c>
      <c r="F363">
        <f t="shared" ref="F363" si="390">SUM(F355:F362)</f>
        <v>0.29775071144104004</v>
      </c>
      <c r="H363">
        <f>SUM(H355:H362)</f>
        <v>1.1321299076080322</v>
      </c>
      <c r="K363">
        <f>K355+K357+K359+K361</f>
        <v>0.26863980293273926</v>
      </c>
      <c r="M363" t="s">
        <v>18</v>
      </c>
      <c r="N363" t="s">
        <v>10</v>
      </c>
      <c r="O363" t="s">
        <v>11</v>
      </c>
    </row>
    <row r="364" spans="1:15" x14ac:dyDescent="0.45">
      <c r="A364">
        <v>41</v>
      </c>
      <c r="B364">
        <v>1</v>
      </c>
      <c r="E364" s="1">
        <v>1536840466.45632</v>
      </c>
      <c r="F364" s="1">
        <f t="shared" ref="F364" si="391">G364-E364-0.13</f>
        <v>0.11536991119384765</v>
      </c>
      <c r="G364" s="1">
        <v>1536840466.70169</v>
      </c>
      <c r="H364">
        <f>I364-G364</f>
        <v>4.3149948120117188E-2</v>
      </c>
      <c r="I364" s="1">
        <v>1536840466.7448399</v>
      </c>
      <c r="K364">
        <f>I365-I364</f>
        <v>6.2801837921142578E-3</v>
      </c>
      <c r="M364" s="1">
        <f t="shared" ref="M364:M366" si="392">F364+H364</f>
        <v>0.15851985931396484</v>
      </c>
      <c r="N364" s="2">
        <v>169</v>
      </c>
      <c r="O364" s="2" t="s">
        <v>12</v>
      </c>
    </row>
    <row r="365" spans="1:15" x14ac:dyDescent="0.45">
      <c r="B365">
        <v>2</v>
      </c>
      <c r="C365">
        <f>E366-E365</f>
        <v>2.1529912948608398E-2</v>
      </c>
      <c r="E365" s="1">
        <v>1536840466.7714801</v>
      </c>
      <c r="F365" s="1">
        <f t="shared" ref="F365" si="393">E365-G365+0.13</f>
        <v>-3.4669990539550777E-2</v>
      </c>
      <c r="G365" s="1">
        <v>1536840466.9361501</v>
      </c>
      <c r="H365">
        <f>G365-I365</f>
        <v>0.18502998352050781</v>
      </c>
      <c r="I365" s="1">
        <v>1536840466.7511201</v>
      </c>
      <c r="M365" s="1">
        <f t="shared" si="392"/>
        <v>0.15035999298095704</v>
      </c>
      <c r="N365" s="2">
        <v>122</v>
      </c>
      <c r="O365" s="2" t="s">
        <v>13</v>
      </c>
    </row>
    <row r="366" spans="1:15" x14ac:dyDescent="0.45">
      <c r="B366">
        <v>3</v>
      </c>
      <c r="E366" s="1">
        <v>1536840466.79301</v>
      </c>
      <c r="F366" s="1">
        <f t="shared" ref="F366" si="394">G366-E366-0.13</f>
        <v>0.11203991889953613</v>
      </c>
      <c r="G366" s="1">
        <v>1536840467.0350499</v>
      </c>
      <c r="H366">
        <f>I366-G366</f>
        <v>4.8490047454833984E-2</v>
      </c>
      <c r="I366" s="1">
        <v>1536840467.08354</v>
      </c>
      <c r="K366">
        <f>I367-I366</f>
        <v>4.9560070037841797E-2</v>
      </c>
      <c r="M366" s="1">
        <f t="shared" si="392"/>
        <v>0.16052996635437011</v>
      </c>
      <c r="N366" s="2">
        <v>201</v>
      </c>
      <c r="O366" s="2" t="s">
        <v>12</v>
      </c>
    </row>
    <row r="367" spans="1:15" x14ac:dyDescent="0.45">
      <c r="B367">
        <v>4</v>
      </c>
      <c r="C367">
        <f>E368-E367</f>
        <v>0.15702986717224121</v>
      </c>
      <c r="E367" s="1">
        <v>1536840467.3884001</v>
      </c>
      <c r="F367" s="1">
        <f t="shared" ref="F367" si="395">E367-G367+0.13</f>
        <v>-2.7029867172241206E-2</v>
      </c>
      <c r="G367" s="1">
        <v>1536840467.5454299</v>
      </c>
      <c r="H367">
        <f>G367-I367</f>
        <v>0.41232991218566895</v>
      </c>
      <c r="I367" s="1">
        <v>1536840467.1331</v>
      </c>
      <c r="M367" s="1">
        <f t="shared" si="362"/>
        <v>0.38530004501342774</v>
      </c>
      <c r="N367" s="2">
        <v>616</v>
      </c>
      <c r="O367" s="2" t="s">
        <v>14</v>
      </c>
    </row>
    <row r="368" spans="1:15" x14ac:dyDescent="0.45">
      <c r="B368">
        <v>5</v>
      </c>
      <c r="E368" s="1">
        <v>1536840467.5454299</v>
      </c>
      <c r="F368" s="1">
        <f t="shared" ref="F368" si="396">G368-E368-0.13</f>
        <v>0.11205994606018066</v>
      </c>
      <c r="G368" s="1">
        <v>1536840467.7874899</v>
      </c>
      <c r="H368">
        <f>I368-G368</f>
        <v>0.17290019989013672</v>
      </c>
      <c r="I368" s="1">
        <v>1536840467.9603901</v>
      </c>
      <c r="K368">
        <f>I369-I368</f>
        <v>9.1159820556640625E-2</v>
      </c>
      <c r="M368" s="1">
        <f t="shared" si="362"/>
        <v>0.28496014595031738</v>
      </c>
      <c r="N368" s="2">
        <v>438</v>
      </c>
      <c r="O368" s="2" t="s">
        <v>15</v>
      </c>
    </row>
    <row r="369" spans="1:15" x14ac:dyDescent="0.45">
      <c r="B369">
        <v>6</v>
      </c>
      <c r="C369">
        <f>E370-E369</f>
        <v>5.9309959411621094E-2</v>
      </c>
      <c r="E369" s="1">
        <v>1536840468.1030099</v>
      </c>
      <c r="F369" s="1">
        <f t="shared" ref="F369" si="397">E369-G369+0.13</f>
        <v>1.4269952774047856E-2</v>
      </c>
      <c r="G369" s="1">
        <v>1536840468.21874</v>
      </c>
      <c r="H369">
        <f>G369-I369</f>
        <v>0.1671900749206543</v>
      </c>
      <c r="I369" s="1">
        <v>1536840468.0515499</v>
      </c>
      <c r="M369" s="1">
        <f t="shared" si="362"/>
        <v>0.18146002769470215</v>
      </c>
      <c r="N369" s="2">
        <v>129</v>
      </c>
      <c r="O369" s="2" t="s">
        <v>16</v>
      </c>
    </row>
    <row r="370" spans="1:15" x14ac:dyDescent="0.45">
      <c r="B370">
        <v>7</v>
      </c>
      <c r="E370" s="1">
        <v>1536840468.1623199</v>
      </c>
      <c r="F370" s="1">
        <f t="shared" ref="F370" si="398">G370-E370-0.13</f>
        <v>0.11270009994506835</v>
      </c>
      <c r="G370" s="1">
        <v>1536840468.40502</v>
      </c>
      <c r="H370">
        <f>I370-G370</f>
        <v>-3.7729978561401367E-2</v>
      </c>
      <c r="I370" s="1">
        <v>1536840468.36729</v>
      </c>
      <c r="K370">
        <f>I371-I370</f>
        <v>0.13601994514465332</v>
      </c>
      <c r="M370" s="1">
        <f t="shared" si="362"/>
        <v>7.4970121383666988E-2</v>
      </c>
      <c r="N370" s="2">
        <v>113</v>
      </c>
      <c r="O370" s="2" t="s">
        <v>17</v>
      </c>
    </row>
    <row r="371" spans="1:15" x14ac:dyDescent="0.45">
      <c r="B371">
        <v>8</v>
      </c>
      <c r="E371" s="1">
        <v>1536840468.41028</v>
      </c>
      <c r="F371" s="1">
        <f t="shared" ref="F371" si="399">E371-G371+0.13</f>
        <v>-8.5820074081420894E-2</v>
      </c>
      <c r="G371" s="1">
        <v>1536840468.6261001</v>
      </c>
      <c r="H371">
        <f>G371-I371</f>
        <v>0.12279009819030762</v>
      </c>
      <c r="I371" s="1">
        <v>1536840468.50331</v>
      </c>
      <c r="M371" s="1">
        <f t="shared" si="362"/>
        <v>3.6970024108886723E-2</v>
      </c>
      <c r="N371" s="2">
        <v>104</v>
      </c>
      <c r="O371" s="2" t="s">
        <v>17</v>
      </c>
    </row>
    <row r="372" spans="1:15" x14ac:dyDescent="0.45">
      <c r="B372" t="s">
        <v>3</v>
      </c>
      <c r="C372">
        <f>C365+C367+C369</f>
        <v>0.2378697395324707</v>
      </c>
      <c r="F372">
        <f t="shared" ref="F372" si="400">SUM(F364:F371)</f>
        <v>0.31891989707946777</v>
      </c>
      <c r="H372">
        <f>SUM(H364:H371)</f>
        <v>1.1141502857208252</v>
      </c>
      <c r="K372">
        <f>K364+K366+K368+K370</f>
        <v>0.28302001953125</v>
      </c>
      <c r="M372" t="s">
        <v>18</v>
      </c>
      <c r="N372" s="2" t="s">
        <v>10</v>
      </c>
      <c r="O372" s="2" t="s">
        <v>11</v>
      </c>
    </row>
    <row r="373" spans="1:15" x14ac:dyDescent="0.45">
      <c r="A373">
        <v>42</v>
      </c>
      <c r="B373">
        <v>1</v>
      </c>
      <c r="E373" s="1">
        <v>1536840471.0171399</v>
      </c>
      <c r="F373" s="1">
        <f t="shared" ref="F373" si="401">G373-E373-0.13</f>
        <v>0.1190401268005371</v>
      </c>
      <c r="G373" s="1">
        <v>1536840471.26618</v>
      </c>
      <c r="H373">
        <f>I373-G373</f>
        <v>6.9059848785400391E-2</v>
      </c>
      <c r="I373" s="1">
        <v>1536840471.3352399</v>
      </c>
      <c r="K373">
        <f>I374-I373</f>
        <v>6.3199996948242188E-3</v>
      </c>
      <c r="M373" s="1">
        <f t="shared" ref="M373:M375" si="402">F373+H373</f>
        <v>0.1880999755859375</v>
      </c>
      <c r="N373">
        <v>169</v>
      </c>
      <c r="O373" t="s">
        <v>12</v>
      </c>
    </row>
    <row r="374" spans="1:15" x14ac:dyDescent="0.45">
      <c r="B374">
        <v>2</v>
      </c>
      <c r="C374">
        <f>E375-E374</f>
        <v>1.8559932708740234E-2</v>
      </c>
      <c r="E374" s="1">
        <v>1536840471.3794301</v>
      </c>
      <c r="F374" s="1">
        <f t="shared" ref="F374" si="403">E374-G374+0.13</f>
        <v>-1.8370027542114253E-2</v>
      </c>
      <c r="G374" s="1">
        <v>1536840471.5278001</v>
      </c>
      <c r="H374">
        <f>G374-I374</f>
        <v>0.18624019622802734</v>
      </c>
      <c r="I374" s="1">
        <v>1536840471.3415599</v>
      </c>
      <c r="M374" s="1">
        <f t="shared" si="402"/>
        <v>0.16787016868591309</v>
      </c>
      <c r="N374">
        <v>122</v>
      </c>
      <c r="O374" t="s">
        <v>13</v>
      </c>
    </row>
    <row r="375" spans="1:15" x14ac:dyDescent="0.45">
      <c r="B375">
        <v>3</v>
      </c>
      <c r="E375" s="1">
        <v>1536840471.39799</v>
      </c>
      <c r="F375" s="1">
        <f t="shared" ref="F375" si="404">G375-E375-0.13</f>
        <v>0.11443006515502929</v>
      </c>
      <c r="G375" s="1">
        <v>1536840471.6424201</v>
      </c>
      <c r="H375">
        <f>I375-G375</f>
        <v>3.1519889831542969E-2</v>
      </c>
      <c r="I375" s="1">
        <v>1536840471.6739399</v>
      </c>
      <c r="K375">
        <f>I376-I375</f>
        <v>4.8020124435424805E-2</v>
      </c>
      <c r="M375" s="1">
        <f t="shared" si="402"/>
        <v>0.14594995498657226</v>
      </c>
      <c r="N375">
        <v>201</v>
      </c>
      <c r="O375" t="s">
        <v>12</v>
      </c>
    </row>
    <row r="376" spans="1:15" x14ac:dyDescent="0.45">
      <c r="B376">
        <v>4</v>
      </c>
      <c r="C376">
        <f>E377-E376</f>
        <v>0.1589500904083252</v>
      </c>
      <c r="E376" s="1">
        <v>1536840471.99666</v>
      </c>
      <c r="F376" s="1">
        <f t="shared" ref="F376" si="405">E376-G376+0.13</f>
        <v>-7.6589937210083003E-2</v>
      </c>
      <c r="G376" s="1">
        <v>1536840472.2032499</v>
      </c>
      <c r="H376">
        <f>G376-I376</f>
        <v>0.48128986358642578</v>
      </c>
      <c r="I376" s="1">
        <v>1536840471.7219601</v>
      </c>
      <c r="M376" s="1">
        <f t="shared" si="362"/>
        <v>0.40469992637634278</v>
      </c>
      <c r="N376">
        <v>616</v>
      </c>
      <c r="O376" t="s">
        <v>14</v>
      </c>
    </row>
    <row r="377" spans="1:15" x14ac:dyDescent="0.45">
      <c r="B377">
        <v>5</v>
      </c>
      <c r="E377" s="1">
        <v>1536840472.1556101</v>
      </c>
      <c r="F377" s="1">
        <f t="shared" ref="F377" si="406">G377-E377-0.13</f>
        <v>0.11434995651245117</v>
      </c>
      <c r="G377" s="1">
        <v>1536840472.39996</v>
      </c>
      <c r="H377">
        <f>I377-G377</f>
        <v>0.15079998970031738</v>
      </c>
      <c r="I377" s="1">
        <v>1536840472.55076</v>
      </c>
      <c r="K377">
        <f>I378-I377</f>
        <v>8.3930015563964844E-2</v>
      </c>
      <c r="M377" s="1">
        <f t="shared" si="362"/>
        <v>0.26514994621276855</v>
      </c>
      <c r="N377">
        <v>438</v>
      </c>
      <c r="O377" t="s">
        <v>15</v>
      </c>
    </row>
    <row r="378" spans="1:15" x14ac:dyDescent="0.45">
      <c r="B378">
        <v>6</v>
      </c>
      <c r="C378">
        <f>E379-E378</f>
        <v>4.4080018997192383E-2</v>
      </c>
      <c r="E378" s="1">
        <v>1536840472.60829</v>
      </c>
      <c r="F378" s="1">
        <f t="shared" ref="F378" si="407">E378-G378+0.13</f>
        <v>-7.2759981155395503E-2</v>
      </c>
      <c r="G378" s="1">
        <v>1536840472.8110499</v>
      </c>
      <c r="H378">
        <f>G378-I378</f>
        <v>0.17635989189147949</v>
      </c>
      <c r="I378" s="1">
        <v>1536840472.63469</v>
      </c>
      <c r="M378" s="1">
        <f t="shared" si="362"/>
        <v>0.10359991073608399</v>
      </c>
      <c r="N378">
        <v>129</v>
      </c>
      <c r="O378" t="s">
        <v>16</v>
      </c>
    </row>
    <row r="379" spans="1:15" x14ac:dyDescent="0.45">
      <c r="B379">
        <v>7</v>
      </c>
      <c r="E379" s="1">
        <v>1536840472.65237</v>
      </c>
      <c r="F379" s="1">
        <f t="shared" ref="F379" si="408">G379-E379-0.13</f>
        <v>0.11450993537902832</v>
      </c>
      <c r="G379" s="1">
        <v>1536840472.8968799</v>
      </c>
      <c r="H379">
        <f>I379-G379</f>
        <v>-6.6998004913330078E-3</v>
      </c>
      <c r="I379" s="1">
        <v>1536840472.8901801</v>
      </c>
      <c r="K379">
        <f>I380-I379</f>
        <v>0.14317989349365234</v>
      </c>
      <c r="M379" s="1">
        <f t="shared" si="362"/>
        <v>0.10781013488769531</v>
      </c>
      <c r="N379">
        <v>113</v>
      </c>
      <c r="O379" t="s">
        <v>17</v>
      </c>
    </row>
    <row r="380" spans="1:15" x14ac:dyDescent="0.45">
      <c r="B380">
        <v>8</v>
      </c>
      <c r="E380" s="1">
        <v>1536840473.01875</v>
      </c>
      <c r="F380" s="1">
        <f t="shared" ref="F380" si="409">E380-G380+0.13</f>
        <v>-2.1301460266113237E-3</v>
      </c>
      <c r="G380" s="1">
        <v>1536840473.1508801</v>
      </c>
      <c r="H380">
        <f>G380-I380</f>
        <v>0.11752009391784668</v>
      </c>
      <c r="I380" s="1">
        <v>1536840473.03336</v>
      </c>
      <c r="M380" s="1">
        <f t="shared" si="362"/>
        <v>0.11538994789123536</v>
      </c>
      <c r="N380">
        <v>104</v>
      </c>
      <c r="O380" t="s">
        <v>17</v>
      </c>
    </row>
    <row r="381" spans="1:15" x14ac:dyDescent="0.45">
      <c r="B381" t="s">
        <v>3</v>
      </c>
      <c r="C381">
        <f>C374+C376+C378</f>
        <v>0.22159004211425781</v>
      </c>
      <c r="F381">
        <f t="shared" ref="F381" si="410">SUM(F373:F380)</f>
        <v>0.2924799919128418</v>
      </c>
      <c r="H381">
        <f>SUM(H373:H380)</f>
        <v>1.206089973449707</v>
      </c>
      <c r="K381">
        <f>K373+K375+K377+K379</f>
        <v>0.28145003318786621</v>
      </c>
      <c r="M381" t="s">
        <v>18</v>
      </c>
      <c r="N381" t="s">
        <v>10</v>
      </c>
      <c r="O381" t="s">
        <v>11</v>
      </c>
    </row>
    <row r="382" spans="1:15" x14ac:dyDescent="0.45">
      <c r="A382">
        <v>43</v>
      </c>
      <c r="B382">
        <v>1</v>
      </c>
      <c r="E382" s="1">
        <v>1536840475.67221</v>
      </c>
      <c r="F382" s="1">
        <f t="shared" ref="F382" si="411">G382-E382-0.13</f>
        <v>0.12011992454528808</v>
      </c>
      <c r="G382" s="1">
        <v>1536840475.9223299</v>
      </c>
      <c r="H382">
        <f>I382-G382</f>
        <v>7.0820093154907227E-2</v>
      </c>
      <c r="I382" s="1">
        <v>1536840475.99315</v>
      </c>
      <c r="K382">
        <f>I383-I382</f>
        <v>6.1700344085693359E-3</v>
      </c>
      <c r="M382" s="1">
        <f t="shared" ref="M382:M384" si="412">F382+H382</f>
        <v>0.19094001770019531</v>
      </c>
      <c r="N382" s="2">
        <v>169</v>
      </c>
      <c r="O382" s="2" t="s">
        <v>12</v>
      </c>
    </row>
    <row r="383" spans="1:15" x14ac:dyDescent="0.45">
      <c r="B383">
        <v>2</v>
      </c>
      <c r="C383">
        <f>E384-E383</f>
        <v>3.7600994110107422E-3</v>
      </c>
      <c r="E383" s="1">
        <v>1536840476.08951</v>
      </c>
      <c r="F383" s="1">
        <f t="shared" ref="F383" si="413">E383-G383+0.13</f>
        <v>3.1880025863647465E-2</v>
      </c>
      <c r="G383" s="1">
        <v>1536840476.1876299</v>
      </c>
      <c r="H383">
        <f>G383-I383</f>
        <v>0.18830990791320801</v>
      </c>
      <c r="I383" s="1">
        <v>1536840475.99932</v>
      </c>
      <c r="M383" s="1">
        <f t="shared" si="412"/>
        <v>0.22018993377685547</v>
      </c>
      <c r="N383" s="2">
        <v>122</v>
      </c>
      <c r="O383" s="2" t="s">
        <v>13</v>
      </c>
    </row>
    <row r="384" spans="1:15" x14ac:dyDescent="0.45">
      <c r="B384">
        <v>3</v>
      </c>
      <c r="E384" s="1">
        <v>1536840476.0932701</v>
      </c>
      <c r="F384" s="1">
        <f t="shared" ref="F384" si="414">G384-E384-0.13</f>
        <v>0.11660992622375488</v>
      </c>
      <c r="G384" s="1">
        <v>1536840476.33988</v>
      </c>
      <c r="H384">
        <f>I384-G384</f>
        <v>5.9459924697875977E-2</v>
      </c>
      <c r="I384" s="1">
        <v>1536840476.3993399</v>
      </c>
      <c r="K384">
        <f>I385-I384</f>
        <v>4.8060178756713867E-2</v>
      </c>
      <c r="M384" s="1">
        <f t="shared" si="412"/>
        <v>0.17606985092163085</v>
      </c>
      <c r="N384" s="2">
        <v>201</v>
      </c>
      <c r="O384" s="2" t="s">
        <v>12</v>
      </c>
    </row>
    <row r="385" spans="1:15" x14ac:dyDescent="0.45">
      <c r="B385">
        <v>4</v>
      </c>
      <c r="C385">
        <f>E386-E385</f>
        <v>0.16065001487731934</v>
      </c>
      <c r="E385" s="1">
        <v>1536840476.70417</v>
      </c>
      <c r="F385" s="1">
        <f t="shared" ref="F385" si="415">E385-G385+0.13</f>
        <v>-3.0959959030151363E-2</v>
      </c>
      <c r="G385" s="1">
        <v>1536840476.8651299</v>
      </c>
      <c r="H385">
        <f>G385-I385</f>
        <v>0.41772985458374023</v>
      </c>
      <c r="I385" s="1">
        <v>1536840476.4474001</v>
      </c>
      <c r="M385" s="1">
        <f t="shared" si="362"/>
        <v>0.38676989555358887</v>
      </c>
      <c r="N385" s="2">
        <v>616</v>
      </c>
      <c r="O385" s="2" t="s">
        <v>14</v>
      </c>
    </row>
    <row r="386" spans="1:15" x14ac:dyDescent="0.45">
      <c r="B386">
        <v>5</v>
      </c>
      <c r="E386" s="1">
        <v>1536840476.86482</v>
      </c>
      <c r="F386" s="1">
        <f t="shared" ref="F386" si="416">G386-E386-0.13</f>
        <v>0.11668002128601074</v>
      </c>
      <c r="G386" s="1">
        <v>1536840477.1115</v>
      </c>
      <c r="H386">
        <f>I386-G386</f>
        <v>0.16468000411987305</v>
      </c>
      <c r="I386" s="1">
        <v>1536840477.27618</v>
      </c>
      <c r="K386">
        <f>I387-I386</f>
        <v>9.290003776550293E-2</v>
      </c>
      <c r="M386" s="1">
        <f t="shared" si="362"/>
        <v>0.28136002540588378</v>
      </c>
      <c r="N386" s="2">
        <v>438</v>
      </c>
      <c r="O386" s="2" t="s">
        <v>15</v>
      </c>
    </row>
    <row r="387" spans="1:15" x14ac:dyDescent="0.45">
      <c r="B387">
        <v>6</v>
      </c>
      <c r="C387">
        <f>E388-E387</f>
        <v>5.4219961166381836E-2</v>
      </c>
      <c r="E387" s="1">
        <v>1536840477.31917</v>
      </c>
      <c r="F387" s="1">
        <f t="shared" ref="F387" si="417">E387-G387+0.13</f>
        <v>-8.9259977340698238E-2</v>
      </c>
      <c r="G387" s="1">
        <v>1536840477.53843</v>
      </c>
      <c r="H387">
        <f>G387-I387</f>
        <v>0.16934990882873535</v>
      </c>
      <c r="I387" s="1">
        <v>1536840477.3690801</v>
      </c>
      <c r="M387" s="1">
        <f t="shared" si="362"/>
        <v>8.0089931488037114E-2</v>
      </c>
      <c r="N387" s="2">
        <v>129</v>
      </c>
      <c r="O387" s="2" t="s">
        <v>16</v>
      </c>
    </row>
    <row r="388" spans="1:15" x14ac:dyDescent="0.45">
      <c r="B388">
        <v>7</v>
      </c>
      <c r="E388" s="1">
        <v>1536840477.37339</v>
      </c>
      <c r="F388" s="1">
        <f t="shared" ref="F388" si="418">G388-E388-0.13</f>
        <v>0.11690008163452148</v>
      </c>
      <c r="G388" s="1">
        <v>1536840477.62029</v>
      </c>
      <c r="H388">
        <f>I388-G388</f>
        <v>-4.6899318695068359E-3</v>
      </c>
      <c r="I388" s="1">
        <v>1536840477.6156001</v>
      </c>
      <c r="K388">
        <f>I389-I388</f>
        <v>0.13652992248535156</v>
      </c>
      <c r="M388" s="1">
        <f t="shared" si="362"/>
        <v>0.11221014976501464</v>
      </c>
      <c r="N388" s="2">
        <v>113</v>
      </c>
      <c r="O388" s="2" t="s">
        <v>17</v>
      </c>
    </row>
    <row r="389" spans="1:15" x14ac:dyDescent="0.45">
      <c r="B389">
        <v>8</v>
      </c>
      <c r="E389" s="1">
        <v>1536840477.72773</v>
      </c>
      <c r="F389" s="1">
        <f t="shared" ref="F389" si="419">E389-G389+0.13</f>
        <v>-2.0529861450195308E-2</v>
      </c>
      <c r="G389" s="1">
        <v>1536840477.8782599</v>
      </c>
      <c r="H389">
        <f>G389-I389</f>
        <v>0.1261298656463623</v>
      </c>
      <c r="I389" s="1">
        <v>1536840477.75213</v>
      </c>
      <c r="M389" s="1">
        <f t="shared" si="362"/>
        <v>0.105600004196167</v>
      </c>
      <c r="N389" s="2">
        <v>104</v>
      </c>
      <c r="O389" s="2" t="s">
        <v>17</v>
      </c>
    </row>
    <row r="390" spans="1:15" x14ac:dyDescent="0.45">
      <c r="B390" t="s">
        <v>3</v>
      </c>
      <c r="C390">
        <f>C383+C385+C387</f>
        <v>0.21863007545471191</v>
      </c>
      <c r="F390">
        <f t="shared" ref="F390" si="420">SUM(F382:F389)</f>
        <v>0.36144018173217773</v>
      </c>
      <c r="H390">
        <f>SUM(H382:H389)</f>
        <v>1.1917896270751953</v>
      </c>
      <c r="K390">
        <f>K382+K384+K386+K388</f>
        <v>0.2836601734161377</v>
      </c>
      <c r="M390" t="s">
        <v>18</v>
      </c>
      <c r="N390" s="2" t="s">
        <v>10</v>
      </c>
      <c r="O390" s="2" t="s">
        <v>11</v>
      </c>
    </row>
    <row r="391" spans="1:15" x14ac:dyDescent="0.45">
      <c r="A391">
        <v>44</v>
      </c>
      <c r="B391">
        <v>1</v>
      </c>
      <c r="E391" s="1">
        <v>1536840480.13147</v>
      </c>
      <c r="F391" s="1">
        <f t="shared" ref="F391" si="421">G391-E391-0.13</f>
        <v>0.1202601146697998</v>
      </c>
      <c r="G391" s="1">
        <v>1536840480.3817301</v>
      </c>
      <c r="H391">
        <f>I391-G391</f>
        <v>6.6789865493774414E-2</v>
      </c>
      <c r="I391" s="1">
        <v>1536840480.4485199</v>
      </c>
      <c r="K391">
        <f>I392-I391</f>
        <v>6.0801506042480469E-3</v>
      </c>
      <c r="M391" s="1">
        <f t="shared" ref="M391:M393" si="422">F391+H391</f>
        <v>0.18704998016357421</v>
      </c>
      <c r="N391">
        <v>169</v>
      </c>
      <c r="O391" t="s">
        <v>12</v>
      </c>
    </row>
    <row r="392" spans="1:15" x14ac:dyDescent="0.45">
      <c r="B392">
        <v>2</v>
      </c>
      <c r="C392">
        <f>E393-E392</f>
        <v>3.0109882354736328E-2</v>
      </c>
      <c r="E392" s="1">
        <v>1536840480.4940801</v>
      </c>
      <c r="F392" s="1">
        <f t="shared" ref="F392" si="423">E392-G392+0.13</f>
        <v>-2.0789976119995113E-2</v>
      </c>
      <c r="G392" s="1">
        <v>1536840480.64487</v>
      </c>
      <c r="H392">
        <f>G392-I392</f>
        <v>0.19026994705200195</v>
      </c>
      <c r="I392" s="1">
        <v>1536840480.4546001</v>
      </c>
      <c r="M392" s="1">
        <f t="shared" si="422"/>
        <v>0.16947997093200684</v>
      </c>
      <c r="N392">
        <v>122</v>
      </c>
      <c r="O392" t="s">
        <v>13</v>
      </c>
    </row>
    <row r="393" spans="1:15" x14ac:dyDescent="0.45">
      <c r="B393">
        <v>3</v>
      </c>
      <c r="E393" s="1">
        <v>1536840480.5241899</v>
      </c>
      <c r="F393" s="1">
        <f t="shared" ref="F393" si="424">G393-E393-0.13</f>
        <v>0.11890995025634765</v>
      </c>
      <c r="G393" s="1">
        <v>1536840480.7730999</v>
      </c>
      <c r="H393">
        <f>I393-G393</f>
        <v>1.4110088348388672E-2</v>
      </c>
      <c r="I393" s="1">
        <v>1536840480.78721</v>
      </c>
      <c r="K393">
        <f>I394-I393</f>
        <v>5.0209999084472656E-2</v>
      </c>
      <c r="M393" s="1">
        <f t="shared" si="422"/>
        <v>0.13302003860473632</v>
      </c>
      <c r="N393">
        <v>201</v>
      </c>
      <c r="O393" t="s">
        <v>12</v>
      </c>
    </row>
    <row r="394" spans="1:15" x14ac:dyDescent="0.45">
      <c r="B394">
        <v>4</v>
      </c>
      <c r="C394">
        <f>E395-E394</f>
        <v>0.16027998924255371</v>
      </c>
      <c r="E394" s="1">
        <v>1536840481.10883</v>
      </c>
      <c r="F394" s="1">
        <f t="shared" ref="F394" si="425">E394-G394+0.13</f>
        <v>-1.6029949188232417E-2</v>
      </c>
      <c r="G394" s="1">
        <v>1536840481.2548599</v>
      </c>
      <c r="H394">
        <f>G394-I394</f>
        <v>0.41743993759155273</v>
      </c>
      <c r="I394" s="1">
        <v>1536840480.83742</v>
      </c>
      <c r="M394" s="1">
        <f t="shared" si="362"/>
        <v>0.40140998840332032</v>
      </c>
      <c r="N394">
        <v>616</v>
      </c>
      <c r="O394" t="s">
        <v>14</v>
      </c>
    </row>
    <row r="395" spans="1:15" x14ac:dyDescent="0.45">
      <c r="B395">
        <v>5</v>
      </c>
      <c r="E395" s="1">
        <v>1536840481.26911</v>
      </c>
      <c r="F395" s="1">
        <f t="shared" ref="F395" si="426">G395-E395-0.13</f>
        <v>0.11889993667602539</v>
      </c>
      <c r="G395" s="1">
        <v>1536840481.5180099</v>
      </c>
      <c r="H395">
        <f>I395-G395</f>
        <v>0.14607000350952148</v>
      </c>
      <c r="I395" s="1">
        <v>1536840481.6640799</v>
      </c>
      <c r="K395">
        <f>I396-I395</f>
        <v>9.6220016479492188E-2</v>
      </c>
      <c r="M395" s="1">
        <f t="shared" si="362"/>
        <v>0.26496994018554687</v>
      </c>
      <c r="N395">
        <v>438</v>
      </c>
      <c r="O395" t="s">
        <v>15</v>
      </c>
    </row>
    <row r="396" spans="1:15" x14ac:dyDescent="0.45">
      <c r="B396">
        <v>6</v>
      </c>
      <c r="C396">
        <f>E397-E396</f>
        <v>4.4529914855957031E-2</v>
      </c>
      <c r="E396" s="1">
        <v>1536840481.72155</v>
      </c>
      <c r="F396" s="1">
        <f t="shared" ref="F396" si="427">E396-G396+0.13</f>
        <v>-7.6589937210083003E-2</v>
      </c>
      <c r="G396" s="1">
        <v>1536840481.9281399</v>
      </c>
      <c r="H396">
        <f>G396-I396</f>
        <v>0.16784000396728516</v>
      </c>
      <c r="I396" s="1">
        <v>1536840481.7602999</v>
      </c>
      <c r="M396" s="1">
        <f t="shared" si="362"/>
        <v>9.1250066757202153E-2</v>
      </c>
      <c r="N396">
        <v>129</v>
      </c>
      <c r="O396" t="s">
        <v>16</v>
      </c>
    </row>
    <row r="397" spans="1:15" x14ac:dyDescent="0.45">
      <c r="B397">
        <v>7</v>
      </c>
      <c r="E397" s="1">
        <v>1536840481.7660799</v>
      </c>
      <c r="F397" s="1">
        <f t="shared" ref="F397" si="428">G397-E397-0.13</f>
        <v>0.11909019470214843</v>
      </c>
      <c r="G397" s="1">
        <v>1536840482.0151701</v>
      </c>
      <c r="H397">
        <f>I397-G397</f>
        <v>-1.1700153350830078E-2</v>
      </c>
      <c r="I397" s="1">
        <v>1536840482.0034699</v>
      </c>
      <c r="K397">
        <f>I398-I397</f>
        <v>0.13923001289367676</v>
      </c>
      <c r="M397" s="1">
        <f t="shared" si="362"/>
        <v>0.10739004135131835</v>
      </c>
      <c r="N397">
        <v>113</v>
      </c>
      <c r="O397" t="s">
        <v>17</v>
      </c>
    </row>
    <row r="398" spans="1:15" x14ac:dyDescent="0.45">
      <c r="B398">
        <v>8</v>
      </c>
      <c r="E398" s="1">
        <v>1536840482.13186</v>
      </c>
      <c r="F398" s="1">
        <f t="shared" ref="F398" si="429">E398-G398+0.13</f>
        <v>-6.1100673675537065E-3</v>
      </c>
      <c r="G398" s="1">
        <v>1536840482.2679701</v>
      </c>
      <c r="H398">
        <f>G398-I398</f>
        <v>0.12527012825012207</v>
      </c>
      <c r="I398" s="1">
        <v>1536840482.1427</v>
      </c>
      <c r="M398" s="1">
        <f t="shared" si="362"/>
        <v>0.11916006088256836</v>
      </c>
      <c r="N398">
        <v>104</v>
      </c>
      <c r="O398" t="s">
        <v>17</v>
      </c>
    </row>
    <row r="399" spans="1:15" x14ac:dyDescent="0.45">
      <c r="B399" t="s">
        <v>3</v>
      </c>
      <c r="C399">
        <f>C392+C394+C396</f>
        <v>0.23491978645324707</v>
      </c>
      <c r="F399">
        <f t="shared" ref="F399" si="430">SUM(F391:F398)</f>
        <v>0.35764026641845703</v>
      </c>
      <c r="H399">
        <f>SUM(H391:H398)</f>
        <v>1.1160898208618164</v>
      </c>
      <c r="K399">
        <f>K391+K393+K395+K397</f>
        <v>0.29174017906188965</v>
      </c>
      <c r="M399" t="s">
        <v>18</v>
      </c>
      <c r="N399" t="s">
        <v>10</v>
      </c>
      <c r="O399" t="s">
        <v>11</v>
      </c>
    </row>
    <row r="400" spans="1:15" x14ac:dyDescent="0.45">
      <c r="A400">
        <v>45</v>
      </c>
      <c r="B400">
        <v>1</v>
      </c>
      <c r="E400" s="1">
        <v>1536840484.78351</v>
      </c>
      <c r="F400" s="1">
        <f t="shared" ref="F400" si="431">G400-E400-0.13</f>
        <v>0.12627994537353515</v>
      </c>
      <c r="G400" s="1">
        <v>1536840485.0397899</v>
      </c>
      <c r="H400">
        <f>I400-G400</f>
        <v>6.6640138626098633E-2</v>
      </c>
      <c r="I400" s="1">
        <v>1536840485.1064301</v>
      </c>
      <c r="K400">
        <f>I401-I400</f>
        <v>6.2799453735351563E-3</v>
      </c>
      <c r="M400" s="1">
        <f t="shared" ref="M400:M461" si="432">F400+H400</f>
        <v>0.19292008399963378</v>
      </c>
      <c r="N400" s="2">
        <v>169</v>
      </c>
      <c r="O400" s="2" t="s">
        <v>12</v>
      </c>
    </row>
    <row r="401" spans="1:15" x14ac:dyDescent="0.45">
      <c r="B401">
        <v>2</v>
      </c>
      <c r="C401">
        <f>E402-E401</f>
        <v>1.959991455078125E-2</v>
      </c>
      <c r="E401" s="1">
        <v>1536840485.10291</v>
      </c>
      <c r="F401" s="1">
        <f t="shared" ref="F401" si="433">E401-G401+0.13</f>
        <v>-7.1829910278320308E-2</v>
      </c>
      <c r="G401" s="1">
        <v>1536840485.30474</v>
      </c>
      <c r="H401">
        <f>G401-I401</f>
        <v>0.19202995300292969</v>
      </c>
      <c r="I401" s="1">
        <v>1536840485.11271</v>
      </c>
      <c r="M401" s="1">
        <f t="shared" si="432"/>
        <v>0.12020004272460938</v>
      </c>
      <c r="N401" s="2">
        <v>122</v>
      </c>
      <c r="O401" s="2" t="s">
        <v>13</v>
      </c>
    </row>
    <row r="402" spans="1:15" x14ac:dyDescent="0.45">
      <c r="B402">
        <v>3</v>
      </c>
      <c r="E402" s="1">
        <v>1536840485.12251</v>
      </c>
      <c r="F402" s="1">
        <f t="shared" ref="F402" si="434">G402-E402-0.13</f>
        <v>0.12126004219055175</v>
      </c>
      <c r="G402" s="1">
        <v>1536840485.37377</v>
      </c>
      <c r="H402">
        <f>I402-G402</f>
        <v>7.1340084075927734E-2</v>
      </c>
      <c r="I402" s="1">
        <v>1536840485.4451101</v>
      </c>
      <c r="K402">
        <f>I403-I402</f>
        <v>4.8130035400390625E-2</v>
      </c>
      <c r="M402" s="1">
        <f t="shared" si="432"/>
        <v>0.19260012626647949</v>
      </c>
      <c r="N402" s="2">
        <v>201</v>
      </c>
      <c r="O402" s="2" t="s">
        <v>12</v>
      </c>
    </row>
    <row r="403" spans="1:15" x14ac:dyDescent="0.45">
      <c r="B403">
        <v>4</v>
      </c>
      <c r="C403">
        <f>E404-E403</f>
        <v>0.16662001609802246</v>
      </c>
      <c r="E403" s="1">
        <v>1536840485.71542</v>
      </c>
      <c r="F403" s="1">
        <f t="shared" ref="F403" si="435">E403-G403+0.13</f>
        <v>-6.9290037155151363E-2</v>
      </c>
      <c r="G403" s="1">
        <v>1536840485.91471</v>
      </c>
      <c r="H403">
        <f>G403-I403</f>
        <v>0.42146992683410645</v>
      </c>
      <c r="I403" s="1">
        <v>1536840485.4932401</v>
      </c>
      <c r="M403" s="1">
        <f t="shared" si="432"/>
        <v>0.35217988967895508</v>
      </c>
      <c r="N403" s="2">
        <v>616</v>
      </c>
      <c r="O403" s="2" t="s">
        <v>14</v>
      </c>
    </row>
    <row r="404" spans="1:15" x14ac:dyDescent="0.45">
      <c r="B404">
        <v>5</v>
      </c>
      <c r="E404" s="1">
        <v>1536840485.88204</v>
      </c>
      <c r="F404" s="1">
        <f t="shared" ref="F404" si="436">G404-E404-0.13</f>
        <v>0.1211599063873291</v>
      </c>
      <c r="G404" s="1">
        <v>1536840486.1331999</v>
      </c>
      <c r="H404">
        <f>I404-G404</f>
        <v>0.18877005577087402</v>
      </c>
      <c r="I404" s="1">
        <v>1536840486.32197</v>
      </c>
      <c r="K404">
        <f>I405-I404</f>
        <v>8.6169958114624023E-2</v>
      </c>
      <c r="M404" s="1">
        <f t="shared" si="432"/>
        <v>0.30992996215820312</v>
      </c>
      <c r="N404" s="2">
        <v>438</v>
      </c>
      <c r="O404" s="2" t="s">
        <v>15</v>
      </c>
    </row>
    <row r="405" spans="1:15" x14ac:dyDescent="0.45">
      <c r="B405">
        <v>6</v>
      </c>
      <c r="C405">
        <f>E406-E405</f>
        <v>5.8409929275512695E-2</v>
      </c>
      <c r="E405" s="1">
        <v>1536840486.4342301</v>
      </c>
      <c r="F405" s="1">
        <f t="shared" ref="F405" si="437">E405-G405+0.13</f>
        <v>-2.3759956359863277E-2</v>
      </c>
      <c r="G405" s="1">
        <v>1536840486.58799</v>
      </c>
      <c r="H405">
        <f>G405-I405</f>
        <v>0.17985010147094727</v>
      </c>
      <c r="I405" s="1">
        <v>1536840486.4081399</v>
      </c>
      <c r="M405" s="1">
        <f t="shared" si="432"/>
        <v>0.15609014511108399</v>
      </c>
      <c r="N405" s="2">
        <v>129</v>
      </c>
      <c r="O405" s="2" t="s">
        <v>16</v>
      </c>
    </row>
    <row r="406" spans="1:15" x14ac:dyDescent="0.45">
      <c r="B406">
        <v>7</v>
      </c>
      <c r="E406" s="1">
        <v>1536840486.49264</v>
      </c>
      <c r="F406" s="1">
        <f t="shared" ref="F406" si="438">G406-E406-0.13</f>
        <v>0.12187993049621582</v>
      </c>
      <c r="G406" s="1">
        <v>1536840486.7445199</v>
      </c>
      <c r="H406">
        <f>I406-G406</f>
        <v>-1.5640020370483398E-2</v>
      </c>
      <c r="I406" s="1">
        <v>1536840486.7288799</v>
      </c>
      <c r="K406">
        <f>I407-I406</f>
        <v>0.13636016845703125</v>
      </c>
      <c r="M406" s="1">
        <f t="shared" si="432"/>
        <v>0.10623991012573242</v>
      </c>
      <c r="N406" s="2">
        <v>113</v>
      </c>
      <c r="O406" s="2" t="s">
        <v>17</v>
      </c>
    </row>
    <row r="407" spans="1:15" x14ac:dyDescent="0.45">
      <c r="B407">
        <v>8</v>
      </c>
      <c r="E407" s="1">
        <v>1536840486.8420601</v>
      </c>
      <c r="F407" s="1">
        <f t="shared" ref="F407" si="439">E407-G407+0.13</f>
        <v>-2.3289794921874996E-2</v>
      </c>
      <c r="G407" s="1">
        <v>1536840486.9953499</v>
      </c>
      <c r="H407">
        <f>G407-I407</f>
        <v>0.13010978698730469</v>
      </c>
      <c r="I407" s="1">
        <v>1536840486.8652401</v>
      </c>
      <c r="M407" s="1">
        <f t="shared" si="432"/>
        <v>0.10681999206542969</v>
      </c>
      <c r="N407" s="2">
        <v>104</v>
      </c>
      <c r="O407" s="2" t="s">
        <v>17</v>
      </c>
    </row>
    <row r="408" spans="1:15" x14ac:dyDescent="0.45">
      <c r="B408" t="s">
        <v>3</v>
      </c>
      <c r="C408">
        <f>C401+C403+C405</f>
        <v>0.24462985992431641</v>
      </c>
      <c r="F408">
        <f t="shared" ref="F408" si="440">SUM(F400:F407)</f>
        <v>0.30241012573242188</v>
      </c>
      <c r="H408">
        <f>SUM(H400:H407)</f>
        <v>1.2345700263977051</v>
      </c>
      <c r="K408">
        <f>K400+K402+K404+K406</f>
        <v>0.27694010734558105</v>
      </c>
      <c r="M408" t="s">
        <v>18</v>
      </c>
      <c r="N408" s="2" t="s">
        <v>10</v>
      </c>
      <c r="O408" s="2" t="s">
        <v>11</v>
      </c>
    </row>
    <row r="409" spans="1:15" x14ac:dyDescent="0.45">
      <c r="A409">
        <v>46</v>
      </c>
      <c r="B409">
        <v>1</v>
      </c>
      <c r="E409" s="1">
        <v>1536840489.9660201</v>
      </c>
      <c r="F409" s="1">
        <f t="shared" ref="F409" si="441">G409-E409-0.13</f>
        <v>0.12343990325927734</v>
      </c>
      <c r="G409" s="1">
        <v>1536840490.21946</v>
      </c>
      <c r="H409">
        <f>I409-G409</f>
        <v>1.7410039901733398E-2</v>
      </c>
      <c r="I409" s="1">
        <v>1536840490.2368701</v>
      </c>
      <c r="K409">
        <f>I410-I409</f>
        <v>6.3898563385009766E-3</v>
      </c>
      <c r="M409" s="1">
        <f t="shared" ref="M409:M411" si="442">F409+H409</f>
        <v>0.14084994316101074</v>
      </c>
      <c r="N409">
        <v>169</v>
      </c>
      <c r="O409" t="s">
        <v>12</v>
      </c>
    </row>
    <row r="410" spans="1:15" x14ac:dyDescent="0.45">
      <c r="B410">
        <v>2</v>
      </c>
      <c r="C410">
        <f>E411-E410</f>
        <v>2.1199941635131836E-2</v>
      </c>
      <c r="E410" s="1">
        <v>1536840490.22137</v>
      </c>
      <c r="F410" s="1">
        <f t="shared" ref="F410" si="443">E410-G410+0.13</f>
        <v>-8.5960025787353511E-2</v>
      </c>
      <c r="G410" s="1">
        <v>1536840490.43733</v>
      </c>
      <c r="H410">
        <f>G410-I410</f>
        <v>0.19407010078430176</v>
      </c>
      <c r="I410" s="1">
        <v>1536840490.2432599</v>
      </c>
      <c r="M410" s="1">
        <f t="shared" si="442"/>
        <v>0.10811007499694825</v>
      </c>
      <c r="N410">
        <v>122</v>
      </c>
      <c r="O410" t="s">
        <v>13</v>
      </c>
    </row>
    <row r="411" spans="1:15" x14ac:dyDescent="0.45">
      <c r="B411">
        <v>3</v>
      </c>
      <c r="E411" s="1">
        <v>1536840490.2425699</v>
      </c>
      <c r="F411" s="1">
        <f t="shared" ref="F411" si="444">G411-E411-0.13</f>
        <v>0.12578999519348144</v>
      </c>
      <c r="G411" s="1">
        <v>1536840490.4983599</v>
      </c>
      <c r="H411">
        <f>I411-G411</f>
        <v>9.6900463104248047E-3</v>
      </c>
      <c r="I411" s="1">
        <v>1536840490.50805</v>
      </c>
      <c r="K411">
        <f>I412-I411</f>
        <v>4.9890041351318359E-2</v>
      </c>
      <c r="M411" s="1">
        <f t="shared" si="442"/>
        <v>0.13548004150390625</v>
      </c>
      <c r="N411">
        <v>201</v>
      </c>
      <c r="O411" t="s">
        <v>12</v>
      </c>
    </row>
    <row r="412" spans="1:15" x14ac:dyDescent="0.45">
      <c r="B412">
        <v>4</v>
      </c>
      <c r="C412">
        <f>E413-E412</f>
        <v>0.16223978996276855</v>
      </c>
      <c r="E412" s="1">
        <v>1536840490.8385701</v>
      </c>
      <c r="F412" s="1">
        <f t="shared" ref="F412" si="445">E412-G412+0.13</f>
        <v>-1.1189813613891597E-2</v>
      </c>
      <c r="G412" s="1">
        <v>1536840490.9797599</v>
      </c>
      <c r="H412">
        <f>G412-I412</f>
        <v>0.42181992530822754</v>
      </c>
      <c r="I412" s="1">
        <v>1536840490.55794</v>
      </c>
      <c r="M412" s="1">
        <f t="shared" si="432"/>
        <v>0.41063011169433594</v>
      </c>
      <c r="N412">
        <v>616</v>
      </c>
      <c r="O412" t="s">
        <v>14</v>
      </c>
    </row>
    <row r="413" spans="1:15" x14ac:dyDescent="0.45">
      <c r="B413">
        <v>5</v>
      </c>
      <c r="E413" s="1">
        <v>1536840491.0008099</v>
      </c>
      <c r="F413" s="1">
        <f t="shared" ref="F413" si="446">G413-E413-0.13</f>
        <v>0.12373005867004394</v>
      </c>
      <c r="G413" s="1">
        <v>1536840491.25454</v>
      </c>
      <c r="H413">
        <f>I413-G413</f>
        <v>0.19788002967834473</v>
      </c>
      <c r="I413" s="1">
        <v>1536840491.45242</v>
      </c>
      <c r="K413">
        <f>I414-I413</f>
        <v>9.0450048446655273E-2</v>
      </c>
      <c r="M413" s="1">
        <f t="shared" si="432"/>
        <v>0.32161008834838867</v>
      </c>
      <c r="N413">
        <v>438</v>
      </c>
      <c r="O413" t="s">
        <v>15</v>
      </c>
    </row>
    <row r="414" spans="1:15" x14ac:dyDescent="0.45">
      <c r="B414">
        <v>6</v>
      </c>
      <c r="C414">
        <f>E415-E414</f>
        <v>4.6659946441650391E-2</v>
      </c>
      <c r="E414" s="1">
        <v>1536840491.55285</v>
      </c>
      <c r="F414" s="1">
        <f t="shared" ref="F414" si="447">E414-G414+0.13</f>
        <v>-3.7730093002319331E-2</v>
      </c>
      <c r="G414" s="1">
        <v>1536840491.7205801</v>
      </c>
      <c r="H414">
        <f>G414-I414</f>
        <v>0.17771005630493164</v>
      </c>
      <c r="I414" s="1">
        <v>1536840491.54287</v>
      </c>
      <c r="M414" s="1">
        <f t="shared" si="432"/>
        <v>0.13997996330261231</v>
      </c>
      <c r="N414">
        <v>129</v>
      </c>
      <c r="O414" t="s">
        <v>16</v>
      </c>
    </row>
    <row r="415" spans="1:15" x14ac:dyDescent="0.45">
      <c r="B415">
        <v>7</v>
      </c>
      <c r="E415" s="1">
        <v>1536840491.59951</v>
      </c>
      <c r="F415" s="1">
        <f t="shared" ref="F415" si="448">G415-E415-0.13</f>
        <v>0.12433015823364257</v>
      </c>
      <c r="G415" s="1">
        <v>1536840491.8538401</v>
      </c>
      <c r="H415">
        <f>I415-G415</f>
        <v>5.4798126220703125E-3</v>
      </c>
      <c r="I415" s="1">
        <v>1536840491.8593199</v>
      </c>
      <c r="K415">
        <f>I416-I415</f>
        <v>0.13722014427185059</v>
      </c>
      <c r="M415" s="1">
        <f t="shared" si="432"/>
        <v>0.12980997085571289</v>
      </c>
      <c r="N415">
        <v>113</v>
      </c>
      <c r="O415" t="s">
        <v>17</v>
      </c>
    </row>
    <row r="416" spans="1:15" x14ac:dyDescent="0.45">
      <c r="B416">
        <v>8</v>
      </c>
      <c r="E416" s="1">
        <v>1536840491.9623001</v>
      </c>
      <c r="F416" s="1">
        <f t="shared" ref="F416" si="449">E416-G416+0.13</f>
        <v>-3.5639877319335933E-2</v>
      </c>
      <c r="G416" s="1">
        <v>1536840492.1279399</v>
      </c>
      <c r="H416">
        <f>G416-I416</f>
        <v>0.13139986991882324</v>
      </c>
      <c r="I416" s="1">
        <v>1536840491.9965401</v>
      </c>
      <c r="M416" s="1">
        <f t="shared" si="432"/>
        <v>9.5759992599487309E-2</v>
      </c>
      <c r="N416">
        <v>104</v>
      </c>
      <c r="O416" t="s">
        <v>17</v>
      </c>
    </row>
    <row r="417" spans="1:15" x14ac:dyDescent="0.45">
      <c r="B417" t="s">
        <v>3</v>
      </c>
      <c r="C417">
        <f>C410+C412+C414</f>
        <v>0.23009967803955078</v>
      </c>
      <c r="F417">
        <f t="shared" ref="F417" si="450">SUM(F409:F416)</f>
        <v>0.32677030563354492</v>
      </c>
      <c r="H417">
        <f>SUM(H409:H416)</f>
        <v>1.1554598808288574</v>
      </c>
      <c r="K417">
        <f>K409+K411+K413+K415</f>
        <v>0.2839500904083252</v>
      </c>
      <c r="M417" t="s">
        <v>18</v>
      </c>
      <c r="N417" t="s">
        <v>10</v>
      </c>
      <c r="O417" t="s">
        <v>11</v>
      </c>
    </row>
    <row r="418" spans="1:15" x14ac:dyDescent="0.45">
      <c r="A418">
        <v>47</v>
      </c>
      <c r="B418">
        <v>1</v>
      </c>
      <c r="E418" s="1">
        <v>1536840496.6238699</v>
      </c>
      <c r="F418" s="1">
        <f t="shared" ref="F418" si="451">G418-E418-0.13</f>
        <v>0.13256012916564941</v>
      </c>
      <c r="G418" s="1">
        <v>1536840496.88643</v>
      </c>
      <c r="H418">
        <f>I418-G418</f>
        <v>3.3540010452270508E-2</v>
      </c>
      <c r="I418" s="1">
        <v>1536840496.91997</v>
      </c>
      <c r="K418">
        <f>I419-I418</f>
        <v>6.6399574279785156E-3</v>
      </c>
      <c r="M418" s="1">
        <f t="shared" ref="M418:M420" si="452">F418+H418</f>
        <v>0.16610013961791992</v>
      </c>
      <c r="N418" s="2">
        <v>169</v>
      </c>
      <c r="O418" s="2" t="s">
        <v>12</v>
      </c>
    </row>
    <row r="419" spans="1:15" x14ac:dyDescent="0.45">
      <c r="B419">
        <v>2</v>
      </c>
      <c r="C419">
        <f>E420-E419</f>
        <v>2.9150009155273438E-2</v>
      </c>
      <c r="E419" s="1">
        <v>1536840496.9819901</v>
      </c>
      <c r="F419" s="1">
        <f t="shared" ref="F419" si="453">E419-G419+0.13</f>
        <v>-1.1869783401489253E-2</v>
      </c>
      <c r="G419" s="1">
        <v>1536840497.1238599</v>
      </c>
      <c r="H419">
        <f>G419-I419</f>
        <v>0.1972498893737793</v>
      </c>
      <c r="I419" s="1">
        <v>1536840496.92661</v>
      </c>
      <c r="M419" s="1">
        <f t="shared" si="452"/>
        <v>0.18538010597229004</v>
      </c>
      <c r="N419" s="2">
        <v>122</v>
      </c>
      <c r="O419" s="2" t="s">
        <v>13</v>
      </c>
    </row>
    <row r="420" spans="1:15" x14ac:dyDescent="0.45">
      <c r="B420">
        <v>3</v>
      </c>
      <c r="E420" s="1">
        <v>1536840497.0111401</v>
      </c>
      <c r="F420" s="1">
        <f t="shared" ref="F420" si="454">G420-E420-0.13</f>
        <v>0.12721979141235351</v>
      </c>
      <c r="G420" s="1">
        <v>1536840497.2683599</v>
      </c>
      <c r="H420">
        <f>I420-G420</f>
        <v>5.7780027389526367E-2</v>
      </c>
      <c r="I420" s="1">
        <v>1536840497.3261399</v>
      </c>
      <c r="K420">
        <f>I421-I420</f>
        <v>4.8590183258056641E-2</v>
      </c>
      <c r="M420" s="1">
        <f t="shared" si="452"/>
        <v>0.18499981880187988</v>
      </c>
      <c r="N420" s="2">
        <v>201</v>
      </c>
      <c r="O420" s="2" t="s">
        <v>12</v>
      </c>
    </row>
    <row r="421" spans="1:15" x14ac:dyDescent="0.45">
      <c r="B421">
        <v>4</v>
      </c>
      <c r="C421">
        <f>E422-E421</f>
        <v>0.16775989532470703</v>
      </c>
      <c r="E421" s="1">
        <v>1536840497.5964</v>
      </c>
      <c r="F421" s="1">
        <f t="shared" ref="F421" si="455">E421-G421+0.13</f>
        <v>-7.4269886016845699E-2</v>
      </c>
      <c r="G421" s="1">
        <v>1536840497.8006699</v>
      </c>
      <c r="H421">
        <f>G421-I421</f>
        <v>0.42593979835510254</v>
      </c>
      <c r="I421" s="1">
        <v>1536840497.3747301</v>
      </c>
      <c r="M421" s="1">
        <f t="shared" si="432"/>
        <v>0.35166991233825684</v>
      </c>
      <c r="N421" s="2">
        <v>616</v>
      </c>
      <c r="O421" s="2" t="s">
        <v>14</v>
      </c>
    </row>
    <row r="422" spans="1:15" x14ac:dyDescent="0.45">
      <c r="B422">
        <v>5</v>
      </c>
      <c r="E422" s="1">
        <v>1536840497.7641599</v>
      </c>
      <c r="F422" s="1">
        <f t="shared" ref="F422" si="456">G422-E422-0.13</f>
        <v>0.12707006454467773</v>
      </c>
      <c r="G422" s="1">
        <v>1536840498.02123</v>
      </c>
      <c r="H422">
        <f>I422-G422</f>
        <v>0.18173003196716309</v>
      </c>
      <c r="I422" s="1">
        <v>1536840498.20296</v>
      </c>
      <c r="K422">
        <f>I423-I422</f>
        <v>8.8959932327270508E-2</v>
      </c>
      <c r="M422" s="1">
        <f t="shared" si="432"/>
        <v>0.30880009651184082</v>
      </c>
      <c r="N422" s="2">
        <v>438</v>
      </c>
      <c r="O422" s="2" t="s">
        <v>15</v>
      </c>
    </row>
    <row r="423" spans="1:15" x14ac:dyDescent="0.45">
      <c r="B423">
        <v>6</v>
      </c>
      <c r="C423">
        <f>E424-E423</f>
        <v>4.6410083770751953E-2</v>
      </c>
      <c r="E423" s="1">
        <v>1536840498.3111999</v>
      </c>
      <c r="F423" s="1">
        <f t="shared" ref="F423" si="457">E423-G423+0.13</f>
        <v>-3.2780046463012691E-2</v>
      </c>
      <c r="G423" s="1">
        <v>1536840498.4739799</v>
      </c>
      <c r="H423">
        <f>G423-I423</f>
        <v>0.18206000328063965</v>
      </c>
      <c r="I423" s="1">
        <v>1536840498.2919199</v>
      </c>
      <c r="M423" s="1">
        <f t="shared" si="432"/>
        <v>0.14927995681762696</v>
      </c>
      <c r="N423" s="2">
        <v>129</v>
      </c>
      <c r="O423" s="2" t="s">
        <v>16</v>
      </c>
    </row>
    <row r="424" spans="1:15" x14ac:dyDescent="0.45">
      <c r="B424">
        <v>7</v>
      </c>
      <c r="E424" s="1">
        <v>1536840498.35761</v>
      </c>
      <c r="F424" s="1">
        <f t="shared" ref="F424" si="458">G424-E424-0.13</f>
        <v>0.12774002075195312</v>
      </c>
      <c r="G424" s="1">
        <v>1536840498.61535</v>
      </c>
      <c r="H424">
        <f>I424-G424</f>
        <v>-5.4500102996826172E-3</v>
      </c>
      <c r="I424" s="1">
        <v>1536840498.6099</v>
      </c>
      <c r="K424">
        <f>I425-I424</f>
        <v>0.14212989807128906</v>
      </c>
      <c r="M424" s="1">
        <f t="shared" si="432"/>
        <v>0.1222900104522705</v>
      </c>
      <c r="N424" s="2">
        <v>113</v>
      </c>
      <c r="O424" s="2" t="s">
        <v>17</v>
      </c>
    </row>
    <row r="425" spans="1:15" x14ac:dyDescent="0.45">
      <c r="B425">
        <v>8</v>
      </c>
      <c r="E425" s="1">
        <v>1536840498.7221999</v>
      </c>
      <c r="F425" s="1">
        <f t="shared" ref="F425" si="459">E425-G425+0.13</f>
        <v>-2.8900022506713863E-2</v>
      </c>
      <c r="G425" s="1">
        <v>1536840498.8810999</v>
      </c>
      <c r="H425">
        <f>G425-I425</f>
        <v>0.12907004356384277</v>
      </c>
      <c r="I425" s="1">
        <v>1536840498.7520299</v>
      </c>
      <c r="M425" s="1">
        <f t="shared" si="432"/>
        <v>0.10017002105712891</v>
      </c>
      <c r="N425" s="2">
        <v>104</v>
      </c>
      <c r="O425" s="2" t="s">
        <v>17</v>
      </c>
    </row>
    <row r="426" spans="1:15" x14ac:dyDescent="0.45">
      <c r="B426" t="s">
        <v>3</v>
      </c>
      <c r="C426">
        <f>C419+C421+C423</f>
        <v>0.24331998825073242</v>
      </c>
      <c r="F426">
        <f t="shared" ref="F426" si="460">SUM(F418:F425)</f>
        <v>0.36677026748657227</v>
      </c>
      <c r="H426">
        <f>SUM(H418:H425)</f>
        <v>1.2019197940826416</v>
      </c>
      <c r="K426">
        <f>K418+K420+K422+K424</f>
        <v>0.28631997108459473</v>
      </c>
      <c r="M426" t="s">
        <v>18</v>
      </c>
      <c r="N426" s="2" t="s">
        <v>10</v>
      </c>
      <c r="O426" s="2" t="s">
        <v>11</v>
      </c>
    </row>
    <row r="427" spans="1:15" x14ac:dyDescent="0.45">
      <c r="A427">
        <v>48</v>
      </c>
      <c r="B427">
        <v>1</v>
      </c>
      <c r="E427" s="1">
        <v>1536840501.8631001</v>
      </c>
      <c r="F427" s="1">
        <f t="shared" ref="F427" si="461">G427-E427-0.13</f>
        <v>7.7520008087158199E-2</v>
      </c>
      <c r="G427" s="1">
        <v>1536840502.0706201</v>
      </c>
      <c r="H427">
        <f>I427-G427</f>
        <v>0.11477994918823242</v>
      </c>
      <c r="I427" s="1">
        <v>1536840502.1854</v>
      </c>
      <c r="K427">
        <f>I428-I427</f>
        <v>6.1199665069580078E-3</v>
      </c>
      <c r="M427" s="1">
        <f t="shared" ref="M427:M429" si="462">F427+H427</f>
        <v>0.19229995727539062</v>
      </c>
      <c r="N427">
        <v>169</v>
      </c>
      <c r="O427" t="s">
        <v>12</v>
      </c>
    </row>
    <row r="428" spans="1:15" x14ac:dyDescent="0.45">
      <c r="B428">
        <v>2</v>
      </c>
      <c r="C428">
        <f>E429-E428</f>
        <v>2.7620077133178711E-2</v>
      </c>
      <c r="E428" s="1">
        <v>1536840502.2028999</v>
      </c>
      <c r="F428" s="1">
        <f t="shared" ref="F428" si="463">E428-G428+0.13</f>
        <v>3.3799457550048873E-3</v>
      </c>
      <c r="G428" s="1">
        <v>1536840502.32952</v>
      </c>
      <c r="H428">
        <f>G428-I428</f>
        <v>0.1380000114440918</v>
      </c>
      <c r="I428" s="1">
        <v>1536840502.19152</v>
      </c>
      <c r="M428" s="1">
        <f t="shared" si="462"/>
        <v>0.14137995719909668</v>
      </c>
      <c r="N428">
        <v>122</v>
      </c>
      <c r="O428" t="s">
        <v>13</v>
      </c>
    </row>
    <row r="429" spans="1:15" x14ac:dyDescent="0.45">
      <c r="B429">
        <v>3</v>
      </c>
      <c r="E429" s="1">
        <v>1536840502.23052</v>
      </c>
      <c r="F429" s="1">
        <f t="shared" ref="F429" si="464">G429-E429-0.13</f>
        <v>6.6850061416625972E-2</v>
      </c>
      <c r="G429" s="1">
        <v>1536840502.4273701</v>
      </c>
      <c r="H429">
        <f>I429-G429</f>
        <v>9.6740007400512695E-2</v>
      </c>
      <c r="I429" s="1">
        <v>1536840502.5241101</v>
      </c>
      <c r="K429">
        <f>I430-I429</f>
        <v>4.7829866409301758E-2</v>
      </c>
      <c r="M429" s="1">
        <f t="shared" si="462"/>
        <v>0.16359006881713867</v>
      </c>
      <c r="N429">
        <v>201</v>
      </c>
      <c r="O429" t="s">
        <v>12</v>
      </c>
    </row>
    <row r="430" spans="1:15" x14ac:dyDescent="0.45">
      <c r="B430">
        <v>4</v>
      </c>
      <c r="C430">
        <f>E431-E430</f>
        <v>0.14756011962890625</v>
      </c>
      <c r="E430" s="1">
        <v>1536840502.918</v>
      </c>
      <c r="F430" s="1">
        <f t="shared" ref="F430" si="465">E430-G430+0.13</f>
        <v>5.259001731872559E-2</v>
      </c>
      <c r="G430" s="1">
        <v>1536840502.99541</v>
      </c>
      <c r="H430">
        <f>G430-I430</f>
        <v>0.42347002029418945</v>
      </c>
      <c r="I430" s="1">
        <v>1536840502.5719399</v>
      </c>
      <c r="M430" s="1">
        <f t="shared" si="432"/>
        <v>0.47606003761291504</v>
      </c>
      <c r="N430">
        <v>616</v>
      </c>
      <c r="O430" t="s">
        <v>14</v>
      </c>
    </row>
    <row r="431" spans="1:15" x14ac:dyDescent="0.45">
      <c r="B431">
        <v>5</v>
      </c>
      <c r="E431" s="1">
        <v>1536840503.0655601</v>
      </c>
      <c r="F431" s="1">
        <f t="shared" ref="F431" si="466">G431-E431-0.13</f>
        <v>5.5869932174682613E-2</v>
      </c>
      <c r="G431" s="1">
        <v>1536840503.25143</v>
      </c>
      <c r="H431">
        <f>I431-G431</f>
        <v>0.2170100212097168</v>
      </c>
      <c r="I431" s="1">
        <v>1536840503.4684401</v>
      </c>
      <c r="K431">
        <f>I432-I431</f>
        <v>9.031987190246582E-2</v>
      </c>
      <c r="M431" s="1">
        <f t="shared" si="432"/>
        <v>0.27287995338439941</v>
      </c>
      <c r="N431">
        <v>438</v>
      </c>
      <c r="O431" t="s">
        <v>15</v>
      </c>
    </row>
    <row r="432" spans="1:15" x14ac:dyDescent="0.45">
      <c r="B432">
        <v>6</v>
      </c>
      <c r="C432">
        <f>E433-E432</f>
        <v>4.2750120162963867E-2</v>
      </c>
      <c r="E432" s="1">
        <v>1536840503.53527</v>
      </c>
      <c r="F432" s="1">
        <f t="shared" ref="F432" si="467">E432-G432+0.13</f>
        <v>3.0499744415283248E-3</v>
      </c>
      <c r="G432" s="1">
        <v>1536840503.66222</v>
      </c>
      <c r="H432">
        <f>G432-I432</f>
        <v>0.10346007347106934</v>
      </c>
      <c r="I432" s="1">
        <v>1536840503.5587599</v>
      </c>
      <c r="M432" s="1">
        <f t="shared" si="432"/>
        <v>0.10651004791259766</v>
      </c>
      <c r="N432">
        <v>129</v>
      </c>
      <c r="O432" t="s">
        <v>16</v>
      </c>
    </row>
    <row r="433" spans="1:15" x14ac:dyDescent="0.45">
      <c r="B433">
        <v>7</v>
      </c>
      <c r="E433" s="1">
        <v>1536840503.5780201</v>
      </c>
      <c r="F433" s="1">
        <f t="shared" ref="F433" si="468">G433-E433-0.13</f>
        <v>4.9289817810058589E-2</v>
      </c>
      <c r="G433" s="1">
        <v>1536840503.7573099</v>
      </c>
      <c r="H433">
        <f>I433-G433</f>
        <v>5.0539970397949219E-2</v>
      </c>
      <c r="I433" s="1">
        <v>1536840503.8078499</v>
      </c>
      <c r="K433">
        <f>I434-I433</f>
        <v>0.13589000701904297</v>
      </c>
      <c r="M433" s="1">
        <f t="shared" si="432"/>
        <v>9.9829788208007808E-2</v>
      </c>
      <c r="N433">
        <v>113</v>
      </c>
      <c r="O433" t="s">
        <v>17</v>
      </c>
    </row>
    <row r="434" spans="1:15" x14ac:dyDescent="0.45">
      <c r="B434">
        <v>8</v>
      </c>
      <c r="E434" s="1">
        <v>1536840503.8994</v>
      </c>
      <c r="F434" s="1">
        <f t="shared" ref="F434" si="469">E434-G434+0.13</f>
        <v>-3.5050029754638667E-2</v>
      </c>
      <c r="G434" s="1">
        <v>1536840504.06445</v>
      </c>
      <c r="H434">
        <f>G434-I434</f>
        <v>0.12071013450622559</v>
      </c>
      <c r="I434" s="1">
        <v>1536840503.9437399</v>
      </c>
      <c r="M434" s="1">
        <f t="shared" si="432"/>
        <v>8.5660104751586919E-2</v>
      </c>
      <c r="N434">
        <v>104</v>
      </c>
      <c r="O434" t="s">
        <v>17</v>
      </c>
    </row>
    <row r="435" spans="1:15" x14ac:dyDescent="0.45">
      <c r="B435" t="s">
        <v>3</v>
      </c>
      <c r="C435">
        <f>C428+C430+C432</f>
        <v>0.21793031692504883</v>
      </c>
      <c r="F435">
        <f t="shared" ref="F435" si="470">SUM(F427:F434)</f>
        <v>0.27349972724914551</v>
      </c>
      <c r="H435">
        <f>SUM(H427:H434)</f>
        <v>1.2647101879119873</v>
      </c>
      <c r="K435">
        <f>K427+K429+K431+K433</f>
        <v>0.28015971183776855</v>
      </c>
      <c r="M435" t="s">
        <v>18</v>
      </c>
      <c r="N435" t="s">
        <v>10</v>
      </c>
      <c r="O435" t="s">
        <v>11</v>
      </c>
    </row>
    <row r="436" spans="1:15" x14ac:dyDescent="0.45">
      <c r="A436">
        <v>49</v>
      </c>
      <c r="B436">
        <v>1</v>
      </c>
      <c r="E436" s="1">
        <v>1536840511.5994699</v>
      </c>
      <c r="F436" s="1">
        <f t="shared" ref="F436" si="471">G436-E436-0.13</f>
        <v>-4.8898506164550826E-3</v>
      </c>
      <c r="G436" s="1">
        <v>1536840511.72458</v>
      </c>
      <c r="H436">
        <f>I436-G436</f>
        <v>0.18166995048522949</v>
      </c>
      <c r="I436" s="1">
        <v>1536840511.90625</v>
      </c>
      <c r="K436">
        <f>I437-I436</f>
        <v>8.769989013671875E-3</v>
      </c>
      <c r="M436" s="1">
        <f t="shared" ref="M436:M438" si="472">F436+H436</f>
        <v>0.17678009986877441</v>
      </c>
      <c r="N436" s="2">
        <v>169</v>
      </c>
      <c r="O436" s="2" t="s">
        <v>12</v>
      </c>
    </row>
    <row r="437" spans="1:15" x14ac:dyDescent="0.45">
      <c r="B437">
        <v>2</v>
      </c>
      <c r="C437">
        <f>E438-E437</f>
        <v>4.1601657867431641E-3</v>
      </c>
      <c r="E437" s="1">
        <v>1536840511.9293699</v>
      </c>
      <c r="F437" s="1">
        <f t="shared" ref="F437" si="473">E437-G437+0.13</f>
        <v>8.8789825439453129E-2</v>
      </c>
      <c r="G437" s="1">
        <v>1536840511.9705801</v>
      </c>
      <c r="H437">
        <f>G437-I437</f>
        <v>5.5560111999511719E-2</v>
      </c>
      <c r="I437" s="1">
        <v>1536840511.91502</v>
      </c>
      <c r="M437" s="1">
        <f t="shared" si="472"/>
        <v>0.14434993743896485</v>
      </c>
      <c r="N437" s="2">
        <v>122</v>
      </c>
      <c r="O437" s="2" t="s">
        <v>13</v>
      </c>
    </row>
    <row r="438" spans="1:15" x14ac:dyDescent="0.45">
      <c r="B438">
        <v>3</v>
      </c>
      <c r="E438" s="1">
        <v>1536840511.9335301</v>
      </c>
      <c r="F438" s="1">
        <f t="shared" ref="F438" si="474">G438-E438-0.13</f>
        <v>-9.2800903320312544E-3</v>
      </c>
      <c r="G438" s="1">
        <v>1536840512.05425</v>
      </c>
      <c r="H438">
        <f>I438-G438</f>
        <v>0.19068002700805664</v>
      </c>
      <c r="I438" s="1">
        <v>1536840512.24493</v>
      </c>
      <c r="K438">
        <f>I439-I438</f>
        <v>4.7329902648925781E-2</v>
      </c>
      <c r="M438" s="1">
        <f t="shared" si="472"/>
        <v>0.18139993667602539</v>
      </c>
      <c r="N438" s="2">
        <v>201</v>
      </c>
      <c r="O438" s="2" t="s">
        <v>12</v>
      </c>
    </row>
    <row r="439" spans="1:15" x14ac:dyDescent="0.45">
      <c r="B439">
        <v>4</v>
      </c>
      <c r="C439">
        <f>E440-E439</f>
        <v>0.15264987945556641</v>
      </c>
      <c r="E439" s="1">
        <v>1536840512.54498</v>
      </c>
      <c r="F439" s="1">
        <f t="shared" ref="F439" si="475">E439-G439+0.13</f>
        <v>9.7180013656616215E-2</v>
      </c>
      <c r="G439" s="1">
        <v>1536840512.5778</v>
      </c>
      <c r="H439">
        <f>G439-I439</f>
        <v>0.28554010391235352</v>
      </c>
      <c r="I439" s="1">
        <v>1536840512.2922599</v>
      </c>
      <c r="M439" s="1">
        <f t="shared" si="432"/>
        <v>0.38272011756896973</v>
      </c>
      <c r="N439" s="2">
        <v>616</v>
      </c>
      <c r="O439" s="2" t="s">
        <v>14</v>
      </c>
    </row>
    <row r="440" spans="1:15" x14ac:dyDescent="0.45">
      <c r="B440">
        <v>5</v>
      </c>
      <c r="E440" s="1">
        <v>1536840512.6976299</v>
      </c>
      <c r="F440" s="1">
        <f t="shared" ref="F440" si="476">G440-E440-0.13</f>
        <v>-1.4229898452758794E-2</v>
      </c>
      <c r="G440" s="1">
        <v>1536840512.8134</v>
      </c>
      <c r="H440">
        <f>I440-G440</f>
        <v>0.30901002883911133</v>
      </c>
      <c r="I440" s="1">
        <v>1536840513.1224101</v>
      </c>
      <c r="K440">
        <f>I441-I440</f>
        <v>9.2839956283569336E-2</v>
      </c>
      <c r="M440" s="1">
        <f t="shared" si="432"/>
        <v>0.29478013038635253</v>
      </c>
      <c r="N440" s="2">
        <v>438</v>
      </c>
      <c r="O440" s="2" t="s">
        <v>15</v>
      </c>
    </row>
    <row r="441" spans="1:15" x14ac:dyDescent="0.45">
      <c r="B441">
        <v>6</v>
      </c>
      <c r="C441">
        <f>E442-E441</f>
        <v>4.4130086898803711E-2</v>
      </c>
      <c r="E441" s="1">
        <v>1536840513.16168</v>
      </c>
      <c r="F441" s="1">
        <f t="shared" ref="F441" si="477">E441-G441+0.13</f>
        <v>4.3510084152221684E-2</v>
      </c>
      <c r="G441" s="1">
        <v>1536840513.2481699</v>
      </c>
      <c r="H441">
        <f>G441-I441</f>
        <v>3.2919883728027344E-2</v>
      </c>
      <c r="I441" s="1">
        <v>1536840513.21525</v>
      </c>
      <c r="M441" s="1">
        <f t="shared" si="432"/>
        <v>7.6429967880249028E-2</v>
      </c>
      <c r="N441" s="2">
        <v>129</v>
      </c>
      <c r="O441" s="2" t="s">
        <v>16</v>
      </c>
    </row>
    <row r="442" spans="1:15" x14ac:dyDescent="0.45">
      <c r="B442">
        <v>7</v>
      </c>
      <c r="E442" s="1">
        <v>1536840513.2058101</v>
      </c>
      <c r="F442" s="1">
        <f t="shared" ref="F442" si="478">G442-E442-0.13</f>
        <v>-1.5910034179687504E-2</v>
      </c>
      <c r="G442" s="1">
        <v>1536840513.3199</v>
      </c>
      <c r="H442">
        <f>I442-G442</f>
        <v>0.14128994941711426</v>
      </c>
      <c r="I442" s="1">
        <v>1536840513.46119</v>
      </c>
      <c r="K442">
        <f>I443-I442</f>
        <v>0.13618993759155273</v>
      </c>
      <c r="M442" s="1">
        <f t="shared" si="432"/>
        <v>0.12537991523742675</v>
      </c>
      <c r="N442" s="2">
        <v>113</v>
      </c>
      <c r="O442" s="2" t="s">
        <v>17</v>
      </c>
    </row>
    <row r="443" spans="1:15" x14ac:dyDescent="0.45">
      <c r="B443">
        <v>8</v>
      </c>
      <c r="E443" s="1">
        <v>1536840513.5704</v>
      </c>
      <c r="F443" s="1">
        <f t="shared" ref="F443" si="479">E443-G443+0.13</f>
        <v>0.11376989364624024</v>
      </c>
      <c r="G443" s="1">
        <v>1536840513.5866301</v>
      </c>
      <c r="H443">
        <f>G443-I443</f>
        <v>-1.074981689453125E-2</v>
      </c>
      <c r="I443" s="1">
        <v>1536840513.5973799</v>
      </c>
      <c r="M443" s="1">
        <f t="shared" si="432"/>
        <v>0.10302007675170899</v>
      </c>
      <c r="N443" s="2">
        <v>104</v>
      </c>
      <c r="O443" s="2" t="s">
        <v>17</v>
      </c>
    </row>
    <row r="444" spans="1:15" x14ac:dyDescent="0.45">
      <c r="B444" t="s">
        <v>3</v>
      </c>
      <c r="C444">
        <f>C437+C439+C441</f>
        <v>0.20094013214111328</v>
      </c>
      <c r="F444">
        <f t="shared" ref="F444" si="480">SUM(F436:F443)</f>
        <v>0.29893994331359863</v>
      </c>
      <c r="H444">
        <f>SUM(H436:H443)</f>
        <v>1.185920238494873</v>
      </c>
      <c r="K444">
        <f>K436+K438+K440+K442</f>
        <v>0.28512978553771973</v>
      </c>
      <c r="M444" t="s">
        <v>18</v>
      </c>
      <c r="N444" s="2" t="s">
        <v>10</v>
      </c>
      <c r="O444" s="2" t="s">
        <v>11</v>
      </c>
    </row>
    <row r="445" spans="1:15" x14ac:dyDescent="0.45">
      <c r="A445">
        <v>50</v>
      </c>
      <c r="B445">
        <v>1</v>
      </c>
      <c r="E445" s="1">
        <v>1536840516.1472199</v>
      </c>
      <c r="F445" s="1">
        <f t="shared" ref="F445" si="481">G445-E445-0.13</f>
        <v>-2.0339851379394536E-2</v>
      </c>
      <c r="G445" s="1">
        <v>1536840516.25688</v>
      </c>
      <c r="H445">
        <f>I445-G445</f>
        <v>0.17093992233276367</v>
      </c>
      <c r="I445" s="1">
        <v>1536840516.42782</v>
      </c>
      <c r="K445">
        <f>I446-I445</f>
        <v>6.3600540161132813E-3</v>
      </c>
      <c r="M445" s="1">
        <f t="shared" ref="M445:M447" si="482">F445+H445</f>
        <v>0.15060007095336914</v>
      </c>
      <c r="N445">
        <v>169</v>
      </c>
      <c r="O445" t="s">
        <v>12</v>
      </c>
    </row>
    <row r="446" spans="1:15" x14ac:dyDescent="0.45">
      <c r="B446">
        <v>2</v>
      </c>
      <c r="C446">
        <f>E447-E446</f>
        <v>1.8980026245117188E-2</v>
      </c>
      <c r="E446" s="1">
        <v>1536840516.43644</v>
      </c>
      <c r="F446" s="1">
        <f t="shared" ref="F446" si="483">E446-G446+0.13</f>
        <v>8.8260059356689458E-2</v>
      </c>
      <c r="G446" s="1">
        <v>1536840516.4781799</v>
      </c>
      <c r="H446">
        <f>G446-I446</f>
        <v>4.3999910354614258E-2</v>
      </c>
      <c r="I446" s="1">
        <v>1536840516.43418</v>
      </c>
      <c r="M446" s="1">
        <f t="shared" si="482"/>
        <v>0.13225996971130372</v>
      </c>
      <c r="N446">
        <v>122</v>
      </c>
      <c r="O446" t="s">
        <v>13</v>
      </c>
    </row>
    <row r="447" spans="1:15" x14ac:dyDescent="0.45">
      <c r="B447">
        <v>3</v>
      </c>
      <c r="E447" s="1">
        <v>1536840516.45542</v>
      </c>
      <c r="F447" s="1">
        <f t="shared" ref="F447" si="484">G447-E447-0.13</f>
        <v>-2.5900011062622075E-2</v>
      </c>
      <c r="G447" s="1">
        <v>1536840516.55952</v>
      </c>
      <c r="H447">
        <f>I447-G447</f>
        <v>0.20680999755859375</v>
      </c>
      <c r="I447" s="1">
        <v>1536840516.76633</v>
      </c>
      <c r="K447">
        <f>I448-I447</f>
        <v>4.7280073165893555E-2</v>
      </c>
      <c r="M447" s="1">
        <f t="shared" si="482"/>
        <v>0.18090998649597168</v>
      </c>
      <c r="N447">
        <v>201</v>
      </c>
      <c r="O447" t="s">
        <v>12</v>
      </c>
    </row>
    <row r="448" spans="1:15" x14ac:dyDescent="0.45">
      <c r="B448">
        <v>4</v>
      </c>
      <c r="C448">
        <f>E449-E448</f>
        <v>0.15652990341186523</v>
      </c>
      <c r="E448" s="1">
        <v>1536840517.1533301</v>
      </c>
      <c r="F448" s="1">
        <f t="shared" ref="F448" si="485">E448-G448+0.13</f>
        <v>0.13037002563476563</v>
      </c>
      <c r="G448" s="1">
        <v>1536840517.1529601</v>
      </c>
      <c r="H448">
        <f>G448-I448</f>
        <v>0.33934998512268066</v>
      </c>
      <c r="I448" s="1">
        <v>1536840516.8136101</v>
      </c>
      <c r="M448" s="1">
        <f t="shared" si="432"/>
        <v>0.46972001075744629</v>
      </c>
      <c r="N448">
        <v>616</v>
      </c>
      <c r="O448" t="s">
        <v>14</v>
      </c>
    </row>
    <row r="449" spans="1:15" x14ac:dyDescent="0.45">
      <c r="B449">
        <v>5</v>
      </c>
      <c r="E449" s="1">
        <v>1536840517.30986</v>
      </c>
      <c r="F449" s="1">
        <f t="shared" ref="F449" si="486">G449-E449-0.13</f>
        <v>-2.7779941558837895E-2</v>
      </c>
      <c r="G449" s="1">
        <v>1536840517.41208</v>
      </c>
      <c r="H449">
        <f>I449-G449</f>
        <v>0.29808998107910156</v>
      </c>
      <c r="I449" s="1">
        <v>1536840517.71017</v>
      </c>
      <c r="K449">
        <f>I450-I449</f>
        <v>9.0369939804077148E-2</v>
      </c>
      <c r="M449" s="1">
        <f t="shared" si="432"/>
        <v>0.27031003952026367</v>
      </c>
      <c r="N449">
        <v>438</v>
      </c>
      <c r="O449" t="s">
        <v>15</v>
      </c>
    </row>
    <row r="450" spans="1:15" x14ac:dyDescent="0.45">
      <c r="B450">
        <v>6</v>
      </c>
      <c r="C450">
        <f>E451-E450</f>
        <v>6.1919927597045898E-2</v>
      </c>
      <c r="E450" s="1">
        <v>1536840517.7679701</v>
      </c>
      <c r="F450" s="1">
        <f t="shared" ref="F450" si="487">E450-G450+0.13</f>
        <v>7.2900180816650395E-2</v>
      </c>
      <c r="G450" s="1">
        <v>1536840517.8250699</v>
      </c>
      <c r="H450">
        <f>G450-I450</f>
        <v>2.4529933929443359E-2</v>
      </c>
      <c r="I450" s="1">
        <v>1536840517.80054</v>
      </c>
      <c r="M450" s="1">
        <f t="shared" si="432"/>
        <v>9.7430114746093754E-2</v>
      </c>
      <c r="N450">
        <v>129</v>
      </c>
      <c r="O450" t="s">
        <v>16</v>
      </c>
    </row>
    <row r="451" spans="1:15" x14ac:dyDescent="0.45">
      <c r="B451">
        <v>7</v>
      </c>
      <c r="E451" s="1">
        <v>1536840517.82989</v>
      </c>
      <c r="F451" s="1">
        <f t="shared" ref="F451" si="488">G451-E451-0.13</f>
        <v>-2.6810054779052739E-2</v>
      </c>
      <c r="G451" s="1">
        <v>1536840517.93308</v>
      </c>
      <c r="H451">
        <f>I451-G451</f>
        <v>0.11631011962890625</v>
      </c>
      <c r="I451" s="1">
        <v>1536840518.0493901</v>
      </c>
      <c r="K451">
        <f>I452-I451</f>
        <v>0.13551998138427734</v>
      </c>
      <c r="M451" s="1">
        <f t="shared" si="432"/>
        <v>8.9500064849853511E-2</v>
      </c>
      <c r="N451">
        <v>113</v>
      </c>
      <c r="O451" t="s">
        <v>17</v>
      </c>
    </row>
    <row r="452" spans="1:15" x14ac:dyDescent="0.45">
      <c r="B452">
        <v>8</v>
      </c>
      <c r="E452" s="1">
        <v>1536840518.17733</v>
      </c>
      <c r="F452" s="1">
        <f t="shared" ref="F452" si="489">E452-G452+0.13</f>
        <v>0.14333999633789063</v>
      </c>
      <c r="G452" s="1">
        <v>1536840518.16399</v>
      </c>
      <c r="H452">
        <f>G452-I452</f>
        <v>-2.0920038223266602E-2</v>
      </c>
      <c r="I452" s="1">
        <v>1536840518.1849101</v>
      </c>
      <c r="M452" s="1">
        <f t="shared" si="432"/>
        <v>0.12241995811462403</v>
      </c>
      <c r="N452">
        <v>104</v>
      </c>
      <c r="O452" t="s">
        <v>17</v>
      </c>
    </row>
    <row r="453" spans="1:15" x14ac:dyDescent="0.45">
      <c r="B453" t="s">
        <v>3</v>
      </c>
      <c r="C453">
        <f>C446+C448+C450</f>
        <v>0.23742985725402832</v>
      </c>
      <c r="F453">
        <f t="shared" ref="F453" si="490">SUM(F445:F452)</f>
        <v>0.33404040336608887</v>
      </c>
      <c r="H453">
        <f>SUM(H445:H452)</f>
        <v>1.1791098117828369</v>
      </c>
      <c r="K453">
        <f>K445+K447+K449+K451</f>
        <v>0.27953004837036133</v>
      </c>
      <c r="M453" t="s">
        <v>18</v>
      </c>
      <c r="N453" t="s">
        <v>10</v>
      </c>
      <c r="O453" t="s">
        <v>11</v>
      </c>
    </row>
    <row r="454" spans="1:15" x14ac:dyDescent="0.45">
      <c r="A454">
        <v>51</v>
      </c>
      <c r="B454">
        <v>1</v>
      </c>
      <c r="E454" s="1">
        <v>1536840520.8845799</v>
      </c>
      <c r="F454" s="1">
        <f t="shared" ref="F454" si="491">G454-E454-0.13</f>
        <v>-2.9249792098999028E-2</v>
      </c>
      <c r="G454" s="1">
        <v>1536840520.9853301</v>
      </c>
      <c r="H454">
        <f>I454-G454</f>
        <v>0.16536998748779297</v>
      </c>
      <c r="I454" s="1">
        <v>1536840521.1507001</v>
      </c>
      <c r="K454">
        <f>I455-I454</f>
        <v>6.5100193023681641E-3</v>
      </c>
      <c r="M454" s="1">
        <f t="shared" ref="M454:M456" si="492">F454+H454</f>
        <v>0.13612019538879394</v>
      </c>
      <c r="N454" s="2">
        <v>169</v>
      </c>
      <c r="O454" s="2" t="s">
        <v>12</v>
      </c>
    </row>
    <row r="455" spans="1:15" x14ac:dyDescent="0.45">
      <c r="B455">
        <v>2</v>
      </c>
      <c r="C455">
        <f>E456-E455</f>
        <v>1.7509937286376953E-2</v>
      </c>
      <c r="E455" s="1">
        <v>1536840521.14643</v>
      </c>
      <c r="F455" s="1">
        <f t="shared" ref="F455" si="493">E455-G455+0.13</f>
        <v>8.281004905700684E-2</v>
      </c>
      <c r="G455" s="1">
        <v>1536840521.19362</v>
      </c>
      <c r="H455">
        <f>G455-I455</f>
        <v>3.6409854888916016E-2</v>
      </c>
      <c r="I455" s="1">
        <v>1536840521.1572101</v>
      </c>
      <c r="M455" s="1">
        <f t="shared" si="492"/>
        <v>0.11921990394592286</v>
      </c>
      <c r="N455" s="2">
        <v>122</v>
      </c>
      <c r="O455" s="2" t="s">
        <v>13</v>
      </c>
    </row>
    <row r="456" spans="1:15" x14ac:dyDescent="0.45">
      <c r="B456">
        <v>3</v>
      </c>
      <c r="E456" s="1">
        <v>1536840521.16394</v>
      </c>
      <c r="F456" s="1">
        <f t="shared" ref="F456" si="494">G456-E456-0.13</f>
        <v>-3.402007102966309E-2</v>
      </c>
      <c r="G456" s="1">
        <v>1536840521.2599199</v>
      </c>
      <c r="H456">
        <f>I456-G456</f>
        <v>0.22929000854492188</v>
      </c>
      <c r="I456" s="1">
        <v>1536840521.4892099</v>
      </c>
      <c r="K456">
        <f>I457-I456</f>
        <v>5.3960084915161133E-2</v>
      </c>
      <c r="M456" s="1">
        <f t="shared" si="492"/>
        <v>0.19526993751525878</v>
      </c>
      <c r="N456" s="2">
        <v>201</v>
      </c>
      <c r="O456" s="2" t="s">
        <v>12</v>
      </c>
    </row>
    <row r="457" spans="1:15" x14ac:dyDescent="0.45">
      <c r="B457">
        <v>4</v>
      </c>
      <c r="C457">
        <f>E458-E457</f>
        <v>0.13660979270935059</v>
      </c>
      <c r="E457" s="1">
        <v>1536840521.7609701</v>
      </c>
      <c r="F457" s="1">
        <f t="shared" ref="F457" si="495">E457-G457+0.13</f>
        <v>8.8600044250488286E-2</v>
      </c>
      <c r="G457" s="1">
        <v>1536840521.8023701</v>
      </c>
      <c r="H457">
        <f>G457-I457</f>
        <v>0.25920009613037109</v>
      </c>
      <c r="I457" s="1">
        <v>1536840521.54317</v>
      </c>
      <c r="M457" s="1">
        <f t="shared" si="432"/>
        <v>0.34780014038085938</v>
      </c>
      <c r="N457" s="2">
        <v>616</v>
      </c>
      <c r="O457" s="2" t="s">
        <v>14</v>
      </c>
    </row>
    <row r="458" spans="1:15" x14ac:dyDescent="0.45">
      <c r="B458">
        <v>5</v>
      </c>
      <c r="E458" s="1">
        <v>1536840521.8975799</v>
      </c>
      <c r="F458" s="1">
        <f t="shared" ref="F458" si="496">G458-E458-0.13</f>
        <v>-3.6519889831542973E-2</v>
      </c>
      <c r="G458" s="1">
        <v>1536840521.99106</v>
      </c>
      <c r="H458">
        <f>I458-G458</f>
        <v>0.30707001686096191</v>
      </c>
      <c r="I458" s="1">
        <v>1536840522.29813</v>
      </c>
      <c r="K458">
        <f>I459-I458</f>
        <v>9.4569921493530273E-2</v>
      </c>
      <c r="M458" s="1">
        <f t="shared" si="432"/>
        <v>0.27055012702941894</v>
      </c>
      <c r="N458" s="2">
        <v>438</v>
      </c>
      <c r="O458" s="2" t="s">
        <v>15</v>
      </c>
    </row>
    <row r="459" spans="1:15" x14ac:dyDescent="0.45">
      <c r="B459">
        <v>6</v>
      </c>
      <c r="C459">
        <f>E460-E459</f>
        <v>6.437993049621582E-2</v>
      </c>
      <c r="E459" s="1">
        <v>1536840522.3780701</v>
      </c>
      <c r="F459" s="1">
        <f t="shared" ref="F459" si="497">E459-G459+0.13</f>
        <v>0.10114014625549317</v>
      </c>
      <c r="G459" s="1">
        <v>1536840522.40693</v>
      </c>
      <c r="H459">
        <f>G459-I459</f>
        <v>1.4230012893676758E-2</v>
      </c>
      <c r="I459" s="1">
        <v>1536840522.3927</v>
      </c>
      <c r="M459" s="1">
        <f t="shared" si="432"/>
        <v>0.11537015914916993</v>
      </c>
      <c r="N459" s="2">
        <v>129</v>
      </c>
      <c r="O459" s="2" t="s">
        <v>16</v>
      </c>
    </row>
    <row r="460" spans="1:15" x14ac:dyDescent="0.45">
      <c r="B460">
        <v>7</v>
      </c>
      <c r="E460" s="1">
        <v>1536840522.44245</v>
      </c>
      <c r="F460" s="1">
        <f t="shared" ref="F460" si="498">G460-E460-0.13</f>
        <v>-3.7400131225585942E-2</v>
      </c>
      <c r="G460" s="1">
        <v>1536840522.5350499</v>
      </c>
      <c r="H460">
        <f>I460-G460</f>
        <v>0.10230016708374023</v>
      </c>
      <c r="I460" s="1">
        <v>1536840522.6373501</v>
      </c>
      <c r="K460">
        <f>I461-I460</f>
        <v>0.13613986968994141</v>
      </c>
      <c r="M460" s="1">
        <f t="shared" si="432"/>
        <v>6.4900035858154292E-2</v>
      </c>
      <c r="N460" s="2">
        <v>113</v>
      </c>
      <c r="O460" s="2" t="s">
        <v>17</v>
      </c>
    </row>
    <row r="461" spans="1:15" x14ac:dyDescent="0.45">
      <c r="B461">
        <v>8</v>
      </c>
      <c r="E461" s="1">
        <v>1536840522.6830001</v>
      </c>
      <c r="F461" s="1">
        <f t="shared" ref="F461" si="499">E461-G461+0.13</f>
        <v>6.6890125274658208E-2</v>
      </c>
      <c r="G461" s="1">
        <v>1536840522.74611</v>
      </c>
      <c r="H461">
        <f>G461-I461</f>
        <v>-2.7379989624023438E-2</v>
      </c>
      <c r="I461" s="1">
        <v>1536840522.77349</v>
      </c>
      <c r="M461" s="1">
        <f t="shared" si="432"/>
        <v>3.951013565063477E-2</v>
      </c>
      <c r="N461" s="2">
        <v>104</v>
      </c>
      <c r="O461" s="2" t="s">
        <v>17</v>
      </c>
    </row>
    <row r="462" spans="1:15" x14ac:dyDescent="0.45">
      <c r="B462" t="s">
        <v>3</v>
      </c>
      <c r="C462">
        <f>C455+C457+C459</f>
        <v>0.21849966049194336</v>
      </c>
      <c r="F462">
        <f t="shared" ref="F462" si="500">SUM(F454:F461)</f>
        <v>0.20225048065185547</v>
      </c>
      <c r="H462">
        <f>SUM(H454:H461)</f>
        <v>1.0864901542663574</v>
      </c>
      <c r="K462">
        <f>K454+K456+K458+K460</f>
        <v>0.29117989540100098</v>
      </c>
      <c r="M462" t="s">
        <v>18</v>
      </c>
      <c r="N462" s="2" t="s">
        <v>10</v>
      </c>
      <c r="O462" s="2" t="s">
        <v>11</v>
      </c>
    </row>
    <row r="463" spans="1:15" x14ac:dyDescent="0.45">
      <c r="A463">
        <v>52</v>
      </c>
      <c r="B463">
        <v>1</v>
      </c>
      <c r="E463" s="1">
        <v>1536840527.32686</v>
      </c>
      <c r="F463" s="1">
        <f t="shared" ref="F463" si="501">G463-E463-0.13</f>
        <v>-3.7709836959838872E-2</v>
      </c>
      <c r="G463" s="1">
        <v>1536840527.4191501</v>
      </c>
      <c r="H463">
        <f>I463-G463</f>
        <v>0.2087099552154541</v>
      </c>
      <c r="I463" s="1">
        <v>1536840527.6278601</v>
      </c>
      <c r="K463">
        <f>I464-I463</f>
        <v>6.8700313568115234E-3</v>
      </c>
      <c r="M463" s="1">
        <f t="shared" ref="M463:M524" si="502">F463+H463</f>
        <v>0.17100011825561523</v>
      </c>
      <c r="N463">
        <v>169</v>
      </c>
      <c r="O463" t="s">
        <v>12</v>
      </c>
    </row>
    <row r="464" spans="1:15" x14ac:dyDescent="0.45">
      <c r="B464">
        <v>2</v>
      </c>
      <c r="C464">
        <f>E465-E464</f>
        <v>2.4870157241821289E-2</v>
      </c>
      <c r="E464" s="1">
        <v>1536840527.70274</v>
      </c>
      <c r="F464" s="1">
        <f t="shared" ref="F464" si="503">E464-G464+0.13</f>
        <v>0.16705000877380372</v>
      </c>
      <c r="G464" s="1">
        <v>1536840527.6656899</v>
      </c>
      <c r="H464">
        <f>G464-I464</f>
        <v>3.0959844589233398E-2</v>
      </c>
      <c r="I464" s="1">
        <v>1536840527.6347301</v>
      </c>
      <c r="M464" s="1">
        <f t="shared" si="502"/>
        <v>0.19800985336303711</v>
      </c>
      <c r="N464">
        <v>122</v>
      </c>
      <c r="O464" t="s">
        <v>13</v>
      </c>
    </row>
    <row r="465" spans="1:15" x14ac:dyDescent="0.45">
      <c r="B465">
        <v>3</v>
      </c>
      <c r="E465" s="1">
        <v>1536840527.7276101</v>
      </c>
      <c r="F465" s="1">
        <f t="shared" ref="F465" si="504">G465-E465-0.13</f>
        <v>-4.3380146026611333E-2</v>
      </c>
      <c r="G465" s="1">
        <v>1536840527.81423</v>
      </c>
      <c r="H465">
        <f>I465-G465</f>
        <v>0.21963000297546387</v>
      </c>
      <c r="I465" s="1">
        <v>1536840528.03386</v>
      </c>
      <c r="K465">
        <f>I466-I465</f>
        <v>4.7310113906860352E-2</v>
      </c>
      <c r="M465" s="1">
        <f t="shared" si="502"/>
        <v>0.17624985694885253</v>
      </c>
      <c r="N465">
        <v>201</v>
      </c>
      <c r="O465" t="s">
        <v>12</v>
      </c>
    </row>
    <row r="466" spans="1:15" x14ac:dyDescent="0.45">
      <c r="B466">
        <v>4</v>
      </c>
      <c r="C466">
        <f>E467-E466</f>
        <v>0.1630399227142334</v>
      </c>
      <c r="E466" s="1">
        <v>1536840528.31617</v>
      </c>
      <c r="F466" s="1">
        <f t="shared" ref="F466" si="505">E466-G466+0.13</f>
        <v>0.10395992279052735</v>
      </c>
      <c r="G466" s="1">
        <v>1536840528.3422101</v>
      </c>
      <c r="H466">
        <f>G466-I466</f>
        <v>0.26103997230529785</v>
      </c>
      <c r="I466" s="1">
        <v>1536840528.0811701</v>
      </c>
      <c r="M466" s="1">
        <f t="shared" si="502"/>
        <v>0.3649998950958252</v>
      </c>
      <c r="N466">
        <v>616</v>
      </c>
      <c r="O466" t="s">
        <v>14</v>
      </c>
    </row>
    <row r="467" spans="1:15" x14ac:dyDescent="0.45">
      <c r="B467">
        <v>5</v>
      </c>
      <c r="E467" s="1">
        <v>1536840528.4792099</v>
      </c>
      <c r="F467" s="1">
        <f t="shared" ref="F467" si="506">G467-E467-0.13</f>
        <v>-4.36497974395752E-2</v>
      </c>
      <c r="G467" s="1">
        <v>1536840528.5655601</v>
      </c>
      <c r="H467">
        <f>I467-G467</f>
        <v>0.34466981887817383</v>
      </c>
      <c r="I467" s="1">
        <v>1536840528.9102299</v>
      </c>
      <c r="K467">
        <f>I468-I467</f>
        <v>9.2290163040161133E-2</v>
      </c>
      <c r="M467" s="1">
        <f t="shared" si="502"/>
        <v>0.30102002143859863</v>
      </c>
      <c r="N467">
        <v>438</v>
      </c>
      <c r="O467" t="s">
        <v>15</v>
      </c>
    </row>
    <row r="468" spans="1:15" x14ac:dyDescent="0.45">
      <c r="B468">
        <v>6</v>
      </c>
      <c r="C468">
        <f>E469-E468</f>
        <v>5.6030035018920898E-2</v>
      </c>
      <c r="E468" s="1">
        <v>1536840529.03386</v>
      </c>
      <c r="F468" s="1">
        <f t="shared" ref="F468" si="507">E468-G468+0.13</f>
        <v>0.14929998397827149</v>
      </c>
      <c r="G468" s="1">
        <v>1536840529.01456</v>
      </c>
      <c r="H468">
        <f>G468-I468</f>
        <v>1.2039899826049805E-2</v>
      </c>
      <c r="I468" s="1">
        <v>1536840529.0025201</v>
      </c>
      <c r="M468" s="1">
        <f t="shared" si="502"/>
        <v>0.16133988380432129</v>
      </c>
      <c r="N468">
        <v>129</v>
      </c>
      <c r="O468" t="s">
        <v>16</v>
      </c>
    </row>
    <row r="469" spans="1:15" x14ac:dyDescent="0.45">
      <c r="B469">
        <v>7</v>
      </c>
      <c r="E469" s="1">
        <v>1536840529.08989</v>
      </c>
      <c r="F469" s="1">
        <f t="shared" ref="F469" si="508">G469-E469-0.13</f>
        <v>-4.4639949798583989E-2</v>
      </c>
      <c r="G469" s="1">
        <v>1536840529.1752501</v>
      </c>
      <c r="H469">
        <f>I469-G469</f>
        <v>0.14169001579284668</v>
      </c>
      <c r="I469" s="1">
        <v>1536840529.3169401</v>
      </c>
      <c r="K469">
        <f>I470-I469</f>
        <v>0.14331984519958496</v>
      </c>
      <c r="M469" s="1">
        <f t="shared" si="502"/>
        <v>9.7050065994262691E-2</v>
      </c>
      <c r="N469">
        <v>113</v>
      </c>
      <c r="O469" t="s">
        <v>17</v>
      </c>
    </row>
    <row r="470" spans="1:15" x14ac:dyDescent="0.45">
      <c r="B470">
        <v>8</v>
      </c>
      <c r="E470" s="1">
        <v>1536840529.3504601</v>
      </c>
      <c r="F470" s="1">
        <f t="shared" ref="F470" si="509">E470-G470+0.13</f>
        <v>5.9090023040771489E-2</v>
      </c>
      <c r="G470" s="1">
        <v>1536840529.42137</v>
      </c>
      <c r="H470">
        <f>G470-I470</f>
        <v>-3.8889884948730469E-2</v>
      </c>
      <c r="I470" s="1">
        <v>1536840529.4602599</v>
      </c>
      <c r="M470" s="1">
        <f t="shared" si="502"/>
        <v>2.020013809204102E-2</v>
      </c>
      <c r="N470">
        <v>104</v>
      </c>
      <c r="O470" t="s">
        <v>17</v>
      </c>
    </row>
    <row r="471" spans="1:15" x14ac:dyDescent="0.45">
      <c r="B471" t="s">
        <v>3</v>
      </c>
      <c r="C471">
        <f>C464+C466+C468</f>
        <v>0.24394011497497559</v>
      </c>
      <c r="F471">
        <f t="shared" ref="F471" si="510">SUM(F463:F470)</f>
        <v>0.31002020835876465</v>
      </c>
      <c r="H471">
        <f>SUM(H463:H470)</f>
        <v>1.1798496246337891</v>
      </c>
      <c r="K471">
        <f>K463+K465+K467+K469</f>
        <v>0.28979015350341797</v>
      </c>
      <c r="M471" t="s">
        <v>18</v>
      </c>
      <c r="N471" t="s">
        <v>10</v>
      </c>
      <c r="O471" t="s">
        <v>11</v>
      </c>
    </row>
    <row r="472" spans="1:15" x14ac:dyDescent="0.45">
      <c r="A472">
        <v>53</v>
      </c>
      <c r="B472">
        <v>1</v>
      </c>
      <c r="E472" s="1">
        <v>1536840532.43714</v>
      </c>
      <c r="F472" s="1">
        <f t="shared" ref="F472" si="511">G472-E472-0.13</f>
        <v>-4.2250041961669926E-2</v>
      </c>
      <c r="G472" s="1">
        <v>1536840532.5248899</v>
      </c>
      <c r="H472">
        <f>I472-G472</f>
        <v>0.23078012466430664</v>
      </c>
      <c r="I472" s="1">
        <v>1536840532.7556701</v>
      </c>
      <c r="K472">
        <f>I473-I472</f>
        <v>8.8999271392822266E-3</v>
      </c>
      <c r="M472" s="1">
        <f t="shared" ref="M472:M474" si="512">F472+H472</f>
        <v>0.18853008270263671</v>
      </c>
      <c r="N472" s="2">
        <v>169</v>
      </c>
      <c r="O472" s="2" t="s">
        <v>12</v>
      </c>
    </row>
    <row r="473" spans="1:15" x14ac:dyDescent="0.45">
      <c r="B473">
        <v>2</v>
      </c>
      <c r="C473">
        <f>E474-E473</f>
        <v>2.5569915771484375E-2</v>
      </c>
      <c r="E473" s="1">
        <v>1536840532.82128</v>
      </c>
      <c r="F473" s="1">
        <f t="shared" ref="F473" si="513">E473-G473+0.13</f>
        <v>0.16135991096496582</v>
      </c>
      <c r="G473" s="1">
        <v>1536840532.7899201</v>
      </c>
      <c r="H473">
        <f>G473-I473</f>
        <v>2.5350093841552734E-2</v>
      </c>
      <c r="I473" s="1">
        <v>1536840532.76457</v>
      </c>
      <c r="M473" s="1">
        <f t="shared" si="512"/>
        <v>0.18671000480651856</v>
      </c>
      <c r="N473" s="2">
        <v>122</v>
      </c>
      <c r="O473" s="2" t="s">
        <v>13</v>
      </c>
    </row>
    <row r="474" spans="1:15" x14ac:dyDescent="0.45">
      <c r="B474">
        <v>3</v>
      </c>
      <c r="E474" s="1">
        <v>1536840532.8468499</v>
      </c>
      <c r="F474" s="1">
        <f t="shared" ref="F474" si="514">G474-E474-0.13</f>
        <v>-4.9189929962158208E-2</v>
      </c>
      <c r="G474" s="1">
        <v>1536840532.92766</v>
      </c>
      <c r="H474">
        <f>I474-G474</f>
        <v>0.23399996757507324</v>
      </c>
      <c r="I474" s="1">
        <v>1536840533.16166</v>
      </c>
      <c r="K474">
        <f>I475-I474</f>
        <v>4.6869993209838867E-2</v>
      </c>
      <c r="M474" s="1">
        <f t="shared" si="512"/>
        <v>0.18481003761291503</v>
      </c>
      <c r="N474" s="2">
        <v>201</v>
      </c>
      <c r="O474" s="2" t="s">
        <v>12</v>
      </c>
    </row>
    <row r="475" spans="1:15" x14ac:dyDescent="0.45">
      <c r="B475">
        <v>4</v>
      </c>
      <c r="C475">
        <f>E476-E475</f>
        <v>0.15559983253479004</v>
      </c>
      <c r="E475" s="1">
        <v>1536840533.4352801</v>
      </c>
      <c r="F475" s="1">
        <f t="shared" ref="F475" si="515">E475-G475+0.13</f>
        <v>9.9240188598632817E-2</v>
      </c>
      <c r="G475" s="1">
        <v>1536840533.4660399</v>
      </c>
      <c r="H475">
        <f>G475-I475</f>
        <v>0.25750994682312012</v>
      </c>
      <c r="I475" s="1">
        <v>1536840533.2085299</v>
      </c>
      <c r="M475" s="1">
        <f t="shared" si="502"/>
        <v>0.35675013542175293</v>
      </c>
      <c r="N475" s="2">
        <v>616</v>
      </c>
      <c r="O475" s="2" t="s">
        <v>14</v>
      </c>
    </row>
    <row r="476" spans="1:15" x14ac:dyDescent="0.45">
      <c r="B476">
        <v>5</v>
      </c>
      <c r="E476" s="1">
        <v>1536840533.5908799</v>
      </c>
      <c r="F476" s="1">
        <f t="shared" ref="F476" si="516">G476-E476-0.13</f>
        <v>-4.8809890747070317E-2</v>
      </c>
      <c r="G476" s="1">
        <v>1536840533.67207</v>
      </c>
      <c r="H476">
        <f>I476-G476</f>
        <v>0.36597990989685059</v>
      </c>
      <c r="I476" s="1">
        <v>1536840534.0380499</v>
      </c>
      <c r="K476">
        <f>I477-I476</f>
        <v>9.4520092010498047E-2</v>
      </c>
      <c r="M476" s="1">
        <f t="shared" si="502"/>
        <v>0.31717001914978027</v>
      </c>
      <c r="N476" s="2">
        <v>438</v>
      </c>
      <c r="O476" s="2" t="s">
        <v>15</v>
      </c>
    </row>
    <row r="477" spans="1:15" x14ac:dyDescent="0.45">
      <c r="B477">
        <v>6</v>
      </c>
      <c r="C477">
        <f>E478-E477</f>
        <v>3.9579868316650391E-2</v>
      </c>
      <c r="E477" s="1">
        <v>1536840534.1535001</v>
      </c>
      <c r="F477" s="1">
        <f t="shared" ref="F477" si="517">E477-G477+0.13</f>
        <v>0.14548004150390625</v>
      </c>
      <c r="G477" s="1">
        <v>1536840534.13802</v>
      </c>
      <c r="H477">
        <f>G477-I477</f>
        <v>5.4500102996826172E-3</v>
      </c>
      <c r="I477" s="1">
        <v>1536840534.13257</v>
      </c>
      <c r="M477" s="1">
        <f t="shared" si="502"/>
        <v>0.15093005180358887</v>
      </c>
      <c r="N477" s="2">
        <v>129</v>
      </c>
      <c r="O477" s="2" t="s">
        <v>16</v>
      </c>
    </row>
    <row r="478" spans="1:15" x14ac:dyDescent="0.45">
      <c r="B478">
        <v>7</v>
      </c>
      <c r="E478" s="1">
        <v>1536840534.1930799</v>
      </c>
      <c r="F478" s="1">
        <f t="shared" ref="F478" si="518">G478-E478-0.13</f>
        <v>-5.1339988708496098E-2</v>
      </c>
      <c r="G478" s="1">
        <v>1536840534.27174</v>
      </c>
      <c r="H478">
        <f>I478-G478</f>
        <v>0.17305994033813477</v>
      </c>
      <c r="I478" s="1">
        <v>1536840534.4447999</v>
      </c>
      <c r="K478">
        <f>I479-I478</f>
        <v>0.18676018714904785</v>
      </c>
      <c r="M478" s="1">
        <f t="shared" si="502"/>
        <v>0.12171995162963867</v>
      </c>
      <c r="N478" s="2">
        <v>113</v>
      </c>
      <c r="O478" s="2" t="s">
        <v>17</v>
      </c>
    </row>
    <row r="479" spans="1:15" x14ac:dyDescent="0.45">
      <c r="B479">
        <v>8</v>
      </c>
      <c r="E479" s="1">
        <v>1536840534.5208399</v>
      </c>
      <c r="F479" s="1">
        <f t="shared" ref="F479" si="519">E479-G479+0.13</f>
        <v>0.10626996040344239</v>
      </c>
      <c r="G479" s="1">
        <v>1536840534.54457</v>
      </c>
      <c r="H479">
        <f>G479-I479</f>
        <v>-8.6990118026733398E-2</v>
      </c>
      <c r="I479" s="1">
        <v>1536840534.6315601</v>
      </c>
      <c r="M479" s="1">
        <f t="shared" si="502"/>
        <v>1.9279842376708989E-2</v>
      </c>
      <c r="N479" s="2">
        <v>104</v>
      </c>
      <c r="O479" s="2" t="s">
        <v>17</v>
      </c>
    </row>
    <row r="480" spans="1:15" x14ac:dyDescent="0.45">
      <c r="B480" t="s">
        <v>3</v>
      </c>
      <c r="C480">
        <f>C473+C475+C477</f>
        <v>0.2207496166229248</v>
      </c>
      <c r="F480">
        <f t="shared" ref="F480" si="520">SUM(F472:F479)</f>
        <v>0.32076025009155273</v>
      </c>
      <c r="H480">
        <f>SUM(H472:H479)</f>
        <v>1.2051398754119873</v>
      </c>
      <c r="K480">
        <f>K472+K474+K476+K478</f>
        <v>0.33705019950866699</v>
      </c>
      <c r="M480" t="s">
        <v>18</v>
      </c>
      <c r="N480" s="2" t="s">
        <v>10</v>
      </c>
      <c r="O480" s="2" t="s">
        <v>11</v>
      </c>
    </row>
    <row r="481" spans="1:15" x14ac:dyDescent="0.45">
      <c r="A481">
        <v>54</v>
      </c>
      <c r="B481">
        <v>1</v>
      </c>
      <c r="E481" s="1">
        <v>1536840558.0732901</v>
      </c>
      <c r="F481" s="1">
        <f t="shared" ref="F481" si="521">G481-E481-0.13</f>
        <v>-6.7750101089477544E-2</v>
      </c>
      <c r="G481" s="1">
        <v>1536840558.13554</v>
      </c>
      <c r="H481">
        <f>I481-G481</f>
        <v>0.19236993789672852</v>
      </c>
      <c r="I481" s="1">
        <v>1536840558.3279099</v>
      </c>
      <c r="K481">
        <f>I482-I481</f>
        <v>6.0601234436035156E-3</v>
      </c>
      <c r="M481" s="1">
        <f t="shared" ref="M481:M483" si="522">F481+H481</f>
        <v>0.12461983680725097</v>
      </c>
      <c r="N481">
        <v>169</v>
      </c>
      <c r="O481" t="s">
        <v>12</v>
      </c>
    </row>
    <row r="482" spans="1:15" x14ac:dyDescent="0.45">
      <c r="B482">
        <v>2</v>
      </c>
      <c r="C482">
        <f>E483-E482</f>
        <v>3.2140016555786133E-2</v>
      </c>
      <c r="E482" s="1">
        <v>1536840558.3013999</v>
      </c>
      <c r="F482" s="1">
        <f t="shared" ref="F482" si="523">E482-G482+0.13</f>
        <v>8.4789876937866215E-2</v>
      </c>
      <c r="G482" s="1">
        <v>1536840558.3466101</v>
      </c>
      <c r="H482">
        <f>G482-I482</f>
        <v>1.2639999389648438E-2</v>
      </c>
      <c r="I482" s="1">
        <v>1536840558.3339701</v>
      </c>
      <c r="M482" s="1">
        <f t="shared" si="522"/>
        <v>9.7429876327514653E-2</v>
      </c>
      <c r="N482">
        <v>122</v>
      </c>
      <c r="O482" t="s">
        <v>13</v>
      </c>
    </row>
    <row r="483" spans="1:15" x14ac:dyDescent="0.45">
      <c r="B483">
        <v>3</v>
      </c>
      <c r="E483" s="1">
        <v>1536840558.33354</v>
      </c>
      <c r="F483" s="1">
        <f t="shared" ref="F483" si="524">G483-E483-0.13</f>
        <v>-7.852995872497559E-2</v>
      </c>
      <c r="G483" s="1">
        <v>1536840558.38501</v>
      </c>
      <c r="H483">
        <f>I483-G483</f>
        <v>0.21394991874694824</v>
      </c>
      <c r="I483" s="1">
        <v>1536840558.5989599</v>
      </c>
      <c r="K483">
        <f>I484-I483</f>
        <v>4.7389984130859375E-2</v>
      </c>
      <c r="M483" s="1">
        <f t="shared" si="522"/>
        <v>0.13541996002197265</v>
      </c>
      <c r="N483">
        <v>201</v>
      </c>
      <c r="O483" t="s">
        <v>12</v>
      </c>
    </row>
    <row r="484" spans="1:15" x14ac:dyDescent="0.45">
      <c r="B484">
        <v>4</v>
      </c>
      <c r="C484">
        <f>E485-E484</f>
        <v>0.1441199779510498</v>
      </c>
      <c r="E484" s="1">
        <v>1536840558.9321201</v>
      </c>
      <c r="F484" s="1">
        <f t="shared" ref="F484" si="525">E484-G484+0.13</f>
        <v>0.17374003410339356</v>
      </c>
      <c r="G484" s="1">
        <v>1536840558.8883801</v>
      </c>
      <c r="H484">
        <f>G484-I484</f>
        <v>0.24203014373779297</v>
      </c>
      <c r="I484" s="1">
        <v>1536840558.6463499</v>
      </c>
      <c r="M484" s="1">
        <f t="shared" si="502"/>
        <v>0.41577017784118653</v>
      </c>
      <c r="N484">
        <v>616</v>
      </c>
      <c r="O484" t="s">
        <v>14</v>
      </c>
    </row>
    <row r="485" spans="1:15" x14ac:dyDescent="0.45">
      <c r="B485">
        <v>5</v>
      </c>
      <c r="E485" s="1">
        <v>1536840559.0762401</v>
      </c>
      <c r="F485" s="1">
        <f t="shared" ref="F485" si="526">G485-E485-0.13</f>
        <v>-7.5880174636840825E-2</v>
      </c>
      <c r="G485" s="1">
        <v>1536840559.1303599</v>
      </c>
      <c r="H485">
        <f>I485-G485</f>
        <v>0.34504008293151855</v>
      </c>
      <c r="I485" s="1">
        <v>1536840559.4754</v>
      </c>
      <c r="K485">
        <f>I486-I485</f>
        <v>9.4550132751464844E-2</v>
      </c>
      <c r="M485" s="1">
        <f t="shared" si="502"/>
        <v>0.26915990829467773</v>
      </c>
      <c r="N485">
        <v>438</v>
      </c>
      <c r="O485" t="s">
        <v>15</v>
      </c>
    </row>
    <row r="486" spans="1:15" x14ac:dyDescent="0.45">
      <c r="B486">
        <v>6</v>
      </c>
      <c r="C486">
        <f>E487-E486</f>
        <v>4.3590068817138672E-2</v>
      </c>
      <c r="E486" s="1">
        <v>1536840559.5480399</v>
      </c>
      <c r="F486" s="1">
        <f t="shared" ref="F486" si="527">E486-G486+0.13</f>
        <v>0.11716998100280762</v>
      </c>
      <c r="G486" s="1">
        <v>1536840559.5608699</v>
      </c>
      <c r="H486">
        <f>G486-I486</f>
        <v>-9.0801715850830078E-3</v>
      </c>
      <c r="I486" s="1">
        <v>1536840559.5699501</v>
      </c>
      <c r="M486" s="1">
        <f t="shared" si="502"/>
        <v>0.10808980941772461</v>
      </c>
      <c r="N486">
        <v>129</v>
      </c>
      <c r="O486" t="s">
        <v>16</v>
      </c>
    </row>
    <row r="487" spans="1:15" x14ac:dyDescent="0.45">
      <c r="B487">
        <v>7</v>
      </c>
      <c r="E487" s="1">
        <v>1536840559.59163</v>
      </c>
      <c r="F487" s="1">
        <f t="shared" ref="F487" si="528">G487-E487-0.13</f>
        <v>-7.6330070495605473E-2</v>
      </c>
      <c r="G487" s="1">
        <v>1536840559.6452999</v>
      </c>
      <c r="H487">
        <f>I487-G487</f>
        <v>0.16935014724731445</v>
      </c>
      <c r="I487" s="1">
        <v>1536840559.8146501</v>
      </c>
      <c r="K487">
        <f>I488-I487</f>
        <v>0.13548994064331055</v>
      </c>
      <c r="M487" s="1">
        <f t="shared" si="502"/>
        <v>9.302007675170898E-2</v>
      </c>
      <c r="N487">
        <v>113</v>
      </c>
      <c r="O487" t="s">
        <v>17</v>
      </c>
    </row>
    <row r="488" spans="1:15" x14ac:dyDescent="0.45">
      <c r="B488">
        <v>8</v>
      </c>
      <c r="E488" s="1">
        <v>1536840559.95646</v>
      </c>
      <c r="F488" s="1">
        <f t="shared" ref="F488" si="529">E488-G488+0.13</f>
        <v>0.18616998672485352</v>
      </c>
      <c r="G488" s="1">
        <v>1536840559.90029</v>
      </c>
      <c r="H488">
        <f>G488-I488</f>
        <v>-4.9849987030029297E-2</v>
      </c>
      <c r="I488" s="1">
        <v>1536840559.95014</v>
      </c>
      <c r="M488" s="1">
        <f t="shared" si="502"/>
        <v>0.13631999969482422</v>
      </c>
      <c r="N488">
        <v>104</v>
      </c>
      <c r="O488" t="s">
        <v>17</v>
      </c>
    </row>
    <row r="489" spans="1:15" x14ac:dyDescent="0.45">
      <c r="B489" t="s">
        <v>3</v>
      </c>
      <c r="C489">
        <f>C482+C484+C486</f>
        <v>0.21985006332397461</v>
      </c>
      <c r="F489">
        <f t="shared" ref="F489" si="530">SUM(F481:F488)</f>
        <v>0.26337957382202148</v>
      </c>
      <c r="H489">
        <f>SUM(H481:H488)</f>
        <v>1.1164500713348389</v>
      </c>
      <c r="K489">
        <f>K481+K483+K485+K487</f>
        <v>0.28349018096923828</v>
      </c>
      <c r="M489" t="s">
        <v>18</v>
      </c>
      <c r="N489" t="s">
        <v>10</v>
      </c>
      <c r="O489" t="s">
        <v>11</v>
      </c>
    </row>
    <row r="490" spans="1:15" x14ac:dyDescent="0.45">
      <c r="A490">
        <v>55</v>
      </c>
      <c r="B490">
        <v>1</v>
      </c>
      <c r="E490" s="1">
        <v>1536840564.28178</v>
      </c>
      <c r="F490" s="1">
        <f t="shared" ref="F490" si="531">G490-E490-0.13</f>
        <v>-7.4169998168945317E-2</v>
      </c>
      <c r="G490" s="1">
        <v>1536840564.33761</v>
      </c>
      <c r="H490">
        <f>I490-G490</f>
        <v>0.19797992706298828</v>
      </c>
      <c r="I490" s="1">
        <v>1536840564.5355899</v>
      </c>
      <c r="K490">
        <f>I491-I490</f>
        <v>6.1600208282470703E-3</v>
      </c>
      <c r="M490" s="1">
        <f t="shared" ref="M490:M492" si="532">F490+H490</f>
        <v>0.12380992889404296</v>
      </c>
      <c r="N490" s="2">
        <v>169</v>
      </c>
      <c r="O490" s="2" t="s">
        <v>12</v>
      </c>
    </row>
    <row r="491" spans="1:15" x14ac:dyDescent="0.45">
      <c r="B491">
        <v>2</v>
      </c>
      <c r="C491">
        <f>E492-E491</f>
        <v>1.175999641418457E-2</v>
      </c>
      <c r="E491" s="1">
        <v>1536840564.56511</v>
      </c>
      <c r="F491" s="1">
        <f t="shared" ref="F491" si="533">E491-G491+0.13</f>
        <v>0.14262998580932618</v>
      </c>
      <c r="G491" s="1">
        <v>1536840564.55248</v>
      </c>
      <c r="H491">
        <f>G491-I491</f>
        <v>1.073002815246582E-2</v>
      </c>
      <c r="I491" s="1">
        <v>1536840564.54175</v>
      </c>
      <c r="M491" s="1">
        <f t="shared" si="532"/>
        <v>0.153360013961792</v>
      </c>
      <c r="N491" s="2">
        <v>122</v>
      </c>
      <c r="O491" s="2" t="s">
        <v>13</v>
      </c>
    </row>
    <row r="492" spans="1:15" x14ac:dyDescent="0.45">
      <c r="B492">
        <v>3</v>
      </c>
      <c r="E492" s="1">
        <v>1536840564.57687</v>
      </c>
      <c r="F492" s="1">
        <f t="shared" ref="F492" si="534">G492-E492-0.13</f>
        <v>-7.9569940567016606E-2</v>
      </c>
      <c r="G492" s="1">
        <v>1536840564.6273</v>
      </c>
      <c r="H492">
        <f>I492-G492</f>
        <v>0.24680995941162109</v>
      </c>
      <c r="I492" s="1">
        <v>1536840564.87411</v>
      </c>
      <c r="K492">
        <f>I493-I492</f>
        <v>4.9570083618164063E-2</v>
      </c>
      <c r="M492" s="1">
        <f t="shared" si="532"/>
        <v>0.16724001884460449</v>
      </c>
      <c r="N492" s="2">
        <v>201</v>
      </c>
      <c r="O492" s="2" t="s">
        <v>12</v>
      </c>
    </row>
    <row r="493" spans="1:15" x14ac:dyDescent="0.45">
      <c r="B493">
        <v>4</v>
      </c>
      <c r="C493">
        <f>E494-E493</f>
        <v>0.16419005393981934</v>
      </c>
      <c r="E493" s="1">
        <v>1536840565.28246</v>
      </c>
      <c r="F493" s="1">
        <f t="shared" ref="F493" si="535">E493-G493+0.13</f>
        <v>0.18458998680114747</v>
      </c>
      <c r="G493" s="1">
        <v>1536840565.22787</v>
      </c>
      <c r="H493">
        <f>G493-I493</f>
        <v>0.30418992042541504</v>
      </c>
      <c r="I493" s="1">
        <v>1536840564.9236801</v>
      </c>
      <c r="M493" s="1">
        <f t="shared" si="502"/>
        <v>0.4887799072265625</v>
      </c>
      <c r="N493" s="2">
        <v>616</v>
      </c>
      <c r="O493" s="2" t="s">
        <v>14</v>
      </c>
    </row>
    <row r="494" spans="1:15" x14ac:dyDescent="0.45">
      <c r="B494">
        <v>5</v>
      </c>
      <c r="E494" s="1">
        <v>1536840565.44665</v>
      </c>
      <c r="F494" s="1">
        <f t="shared" ref="F494" si="536">G494-E494-0.13</f>
        <v>-7.9749946594238286E-2</v>
      </c>
      <c r="G494" s="1">
        <v>1536840565.4969001</v>
      </c>
      <c r="H494">
        <f>I494-G494</f>
        <v>0.3885798454284668</v>
      </c>
      <c r="I494" s="1">
        <v>1536840565.8854799</v>
      </c>
      <c r="K494">
        <f>I495-I494</f>
        <v>9.4010114669799805E-2</v>
      </c>
      <c r="M494" s="1">
        <f t="shared" si="502"/>
        <v>0.30882989883422851</v>
      </c>
      <c r="N494" s="2">
        <v>438</v>
      </c>
      <c r="O494" s="2" t="s">
        <v>15</v>
      </c>
    </row>
    <row r="495" spans="1:15" x14ac:dyDescent="0.45">
      <c r="B495">
        <v>6</v>
      </c>
      <c r="C495">
        <f>E496-E495</f>
        <v>4.913020133972168E-2</v>
      </c>
      <c r="E495" s="1">
        <v>1536840565.9994099</v>
      </c>
      <c r="F495" s="1">
        <f t="shared" ref="F495" si="537">E495-G495+0.13</f>
        <v>0.16020000457763672</v>
      </c>
      <c r="G495" s="1">
        <v>1536840565.9692099</v>
      </c>
      <c r="H495">
        <f>G495-I495</f>
        <v>-1.0280132293701172E-2</v>
      </c>
      <c r="I495" s="1">
        <v>1536840565.97949</v>
      </c>
      <c r="M495" s="1">
        <f t="shared" si="502"/>
        <v>0.14991987228393555</v>
      </c>
      <c r="N495" s="2">
        <v>129</v>
      </c>
      <c r="O495" s="2" t="s">
        <v>16</v>
      </c>
    </row>
    <row r="496" spans="1:15" x14ac:dyDescent="0.45">
      <c r="B496">
        <v>7</v>
      </c>
      <c r="E496" s="1">
        <v>1536840566.0485401</v>
      </c>
      <c r="F496" s="1">
        <f t="shared" ref="F496" si="538">G496-E496-0.13</f>
        <v>-8.0160026550292973E-2</v>
      </c>
      <c r="G496" s="1">
        <v>1536840566.0983801</v>
      </c>
      <c r="H496">
        <f>I496-G496</f>
        <v>0.12638998031616211</v>
      </c>
      <c r="I496" s="1">
        <v>1536840566.2247701</v>
      </c>
      <c r="K496">
        <f>I497-I496</f>
        <v>0.1352698802947998</v>
      </c>
      <c r="M496" s="1">
        <f t="shared" si="502"/>
        <v>4.6229953765869136E-2</v>
      </c>
      <c r="N496" s="2">
        <v>113</v>
      </c>
      <c r="O496" s="2" t="s">
        <v>17</v>
      </c>
    </row>
    <row r="497" spans="1:15" x14ac:dyDescent="0.45">
      <c r="B497">
        <v>8</v>
      </c>
      <c r="E497" s="1">
        <v>1536840566.3061199</v>
      </c>
      <c r="F497" s="1">
        <f t="shared" ref="F497" si="539">E497-G497+0.13</f>
        <v>0.12757981300354004</v>
      </c>
      <c r="G497" s="1">
        <v>1536840566.3085401</v>
      </c>
      <c r="H497">
        <f>G497-I497</f>
        <v>-5.1499843597412109E-2</v>
      </c>
      <c r="I497" s="1">
        <v>1536840566.3600399</v>
      </c>
      <c r="M497" s="1">
        <f t="shared" si="502"/>
        <v>7.6079969406127934E-2</v>
      </c>
      <c r="N497" s="2">
        <v>104</v>
      </c>
      <c r="O497" s="2" t="s">
        <v>17</v>
      </c>
    </row>
    <row r="498" spans="1:15" x14ac:dyDescent="0.45">
      <c r="B498" t="s">
        <v>3</v>
      </c>
      <c r="C498">
        <f>C491+C493+C495</f>
        <v>0.22508025169372559</v>
      </c>
      <c r="F498">
        <f t="shared" ref="F498" si="540">SUM(F490:F497)</f>
        <v>0.30134987831115723</v>
      </c>
      <c r="H498">
        <f>SUM(H490:H497)</f>
        <v>1.2128996849060059</v>
      </c>
      <c r="K498">
        <f>K490+K492+K494+K496</f>
        <v>0.28501009941101074</v>
      </c>
      <c r="M498" t="s">
        <v>18</v>
      </c>
      <c r="N498" s="2" t="s">
        <v>10</v>
      </c>
      <c r="O498" s="2" t="s">
        <v>11</v>
      </c>
    </row>
    <row r="499" spans="1:15" x14ac:dyDescent="0.45">
      <c r="A499">
        <v>56</v>
      </c>
      <c r="B499">
        <v>1</v>
      </c>
      <c r="E499" s="1">
        <v>1536840571.75804</v>
      </c>
      <c r="F499" s="1">
        <f t="shared" ref="F499" si="541">G499-E499-0.13</f>
        <v>-7.8780059814453129E-2</v>
      </c>
      <c r="G499" s="1">
        <v>1536840571.8092599</v>
      </c>
      <c r="H499">
        <f>I499-G499</f>
        <v>0.21609020233154297</v>
      </c>
      <c r="I499" s="1">
        <v>1536840572.0253501</v>
      </c>
      <c r="K499">
        <f>I500-I499</f>
        <v>6.1600208282470703E-3</v>
      </c>
      <c r="M499" s="1">
        <f t="shared" ref="M499:M501" si="542">F499+H499</f>
        <v>0.13731014251708984</v>
      </c>
      <c r="N499">
        <v>169</v>
      </c>
      <c r="O499" t="s">
        <v>12</v>
      </c>
    </row>
    <row r="500" spans="1:15" x14ac:dyDescent="0.45">
      <c r="B500">
        <v>2</v>
      </c>
      <c r="C500">
        <f>E501-E500</f>
        <v>2.3119926452636719E-2</v>
      </c>
      <c r="E500" s="1">
        <v>1536840572.04093</v>
      </c>
      <c r="F500" s="1">
        <f t="shared" ref="F500" si="543">E500-G500+0.13</f>
        <v>0.13047993659973145</v>
      </c>
      <c r="G500" s="1">
        <v>1536840572.0404501</v>
      </c>
      <c r="H500">
        <f>G500-I500</f>
        <v>8.9399814605712891E-3</v>
      </c>
      <c r="I500" s="1">
        <v>1536840572.0315101</v>
      </c>
      <c r="M500" s="1">
        <f t="shared" si="542"/>
        <v>0.13941991806030274</v>
      </c>
      <c r="N500">
        <v>122</v>
      </c>
      <c r="O500" t="s">
        <v>13</v>
      </c>
    </row>
    <row r="501" spans="1:15" x14ac:dyDescent="0.45">
      <c r="B501">
        <v>3</v>
      </c>
      <c r="E501" s="1">
        <v>1536840572.06405</v>
      </c>
      <c r="F501" s="1">
        <f t="shared" ref="F501" si="544">G501-E501-0.13</f>
        <v>-8.4119920730590825E-2</v>
      </c>
      <c r="G501" s="1">
        <v>1536840572.10993</v>
      </c>
      <c r="H501">
        <f>I501-G501</f>
        <v>0.25395989418029785</v>
      </c>
      <c r="I501" s="1">
        <v>1536840572.3638899</v>
      </c>
      <c r="K501">
        <f>I502-I501</f>
        <v>4.6970129013061523E-2</v>
      </c>
      <c r="M501" s="1">
        <f t="shared" si="542"/>
        <v>0.16983997344970703</v>
      </c>
      <c r="N501">
        <v>201</v>
      </c>
      <c r="O501" t="s">
        <v>12</v>
      </c>
    </row>
    <row r="502" spans="1:15" x14ac:dyDescent="0.45">
      <c r="B502">
        <v>4</v>
      </c>
      <c r="C502">
        <f>E503-E502</f>
        <v>0.15567994117736816</v>
      </c>
      <c r="E502" s="1">
        <v>1536840572.6550601</v>
      </c>
      <c r="F502" s="1">
        <f t="shared" ref="F502" si="545">E502-G502+0.13</f>
        <v>0.13529003143310547</v>
      </c>
      <c r="G502" s="1">
        <v>1536840572.64977</v>
      </c>
      <c r="H502">
        <f>G502-I502</f>
        <v>0.23890995979309082</v>
      </c>
      <c r="I502" s="1">
        <v>1536840572.4108601</v>
      </c>
      <c r="M502" s="1">
        <f t="shared" si="502"/>
        <v>0.37419999122619629</v>
      </c>
      <c r="N502">
        <v>616</v>
      </c>
      <c r="O502" t="s">
        <v>14</v>
      </c>
    </row>
    <row r="503" spans="1:15" x14ac:dyDescent="0.45">
      <c r="B503">
        <v>5</v>
      </c>
      <c r="E503" s="1">
        <v>1536840572.81074</v>
      </c>
      <c r="F503" s="1">
        <f t="shared" ref="F503" si="546">G503-E503-0.13</f>
        <v>-8.4540014266967778E-2</v>
      </c>
      <c r="G503" s="1">
        <v>1536840572.8562</v>
      </c>
      <c r="H503">
        <f>I503-G503</f>
        <v>0.3841400146484375</v>
      </c>
      <c r="I503" s="1">
        <v>1536840573.24034</v>
      </c>
      <c r="K503">
        <f>I504-I503</f>
        <v>9.8920106887817383E-2</v>
      </c>
      <c r="M503" s="1">
        <f t="shared" si="502"/>
        <v>0.29960000038146972</v>
      </c>
      <c r="N503">
        <v>438</v>
      </c>
      <c r="O503" t="s">
        <v>15</v>
      </c>
    </row>
    <row r="504" spans="1:15" x14ac:dyDescent="0.45">
      <c r="B504">
        <v>6</v>
      </c>
      <c r="C504">
        <f>E505-E504</f>
        <v>3.5409927368164063E-2</v>
      </c>
      <c r="E504" s="1">
        <v>1536840573.37167</v>
      </c>
      <c r="F504" s="1">
        <f t="shared" ref="F504" si="547">E504-G504+0.13</f>
        <v>0.17934000968933106</v>
      </c>
      <c r="G504" s="1">
        <v>1536840573.32233</v>
      </c>
      <c r="H504">
        <f>G504-I504</f>
        <v>-1.6930103302001953E-2</v>
      </c>
      <c r="I504" s="1">
        <v>1536840573.3392601</v>
      </c>
      <c r="M504" s="1">
        <f t="shared" si="502"/>
        <v>0.16240990638732911</v>
      </c>
      <c r="N504">
        <v>129</v>
      </c>
      <c r="O504" t="s">
        <v>16</v>
      </c>
    </row>
    <row r="505" spans="1:15" x14ac:dyDescent="0.45">
      <c r="B505">
        <v>7</v>
      </c>
      <c r="E505" s="1">
        <v>1536840573.4070799</v>
      </c>
      <c r="F505" s="1">
        <f t="shared" ref="F505" si="548">G505-E505-0.13</f>
        <v>-8.4879999160766606E-2</v>
      </c>
      <c r="G505" s="1">
        <v>1536840573.4521999</v>
      </c>
      <c r="H505">
        <f>I505-G505</f>
        <v>0.12740015983581543</v>
      </c>
      <c r="I505" s="1">
        <v>1536840573.5796001</v>
      </c>
      <c r="K505">
        <f>I506-I505</f>
        <v>0.14612984657287598</v>
      </c>
      <c r="M505" s="1">
        <f t="shared" si="502"/>
        <v>4.2520160675048824E-2</v>
      </c>
      <c r="N505">
        <v>113</v>
      </c>
      <c r="O505" t="s">
        <v>17</v>
      </c>
    </row>
    <row r="506" spans="1:15" x14ac:dyDescent="0.45">
      <c r="B506">
        <v>8</v>
      </c>
      <c r="E506" s="1">
        <v>1536840573.6793301</v>
      </c>
      <c r="F506" s="1">
        <f t="shared" ref="F506" si="549">E506-G506+0.13</f>
        <v>0.14753020286560059</v>
      </c>
      <c r="G506" s="1">
        <v>1536840573.6617999</v>
      </c>
      <c r="H506">
        <f>G506-I506</f>
        <v>-6.3930034637451172E-2</v>
      </c>
      <c r="I506" s="1">
        <v>1536840573.7257299</v>
      </c>
      <c r="M506" s="1">
        <f t="shared" si="502"/>
        <v>8.3600168228149419E-2</v>
      </c>
      <c r="N506">
        <v>104</v>
      </c>
      <c r="O506" t="s">
        <v>17</v>
      </c>
    </row>
    <row r="507" spans="1:15" x14ac:dyDescent="0.45">
      <c r="B507" t="s">
        <v>3</v>
      </c>
      <c r="C507">
        <f>C500+C502+C504</f>
        <v>0.21420979499816895</v>
      </c>
      <c r="F507">
        <f t="shared" ref="F507" si="550">SUM(F499:F506)</f>
        <v>0.26032018661499023</v>
      </c>
      <c r="H507">
        <f>SUM(H499:H506)</f>
        <v>1.1485800743103027</v>
      </c>
      <c r="K507">
        <f>K499+K501+K503+K505</f>
        <v>0.29818010330200195</v>
      </c>
      <c r="M507" t="s">
        <v>18</v>
      </c>
      <c r="N507" t="s">
        <v>10</v>
      </c>
      <c r="O507" t="s">
        <v>11</v>
      </c>
    </row>
    <row r="508" spans="1:15" x14ac:dyDescent="0.45">
      <c r="A508">
        <v>57</v>
      </c>
      <c r="B508">
        <v>1</v>
      </c>
      <c r="E508" s="1">
        <v>1536840580.8173299</v>
      </c>
      <c r="F508" s="1">
        <f t="shared" ref="F508" si="551">G508-E508-0.13</f>
        <v>-8.3959941864013676E-2</v>
      </c>
      <c r="G508" s="1">
        <v>1536840580.8633699</v>
      </c>
      <c r="H508">
        <f>I508-G508</f>
        <v>0.20381999015808105</v>
      </c>
      <c r="I508" s="1">
        <v>1536840581.0671899</v>
      </c>
      <c r="K508">
        <f>I509-I508</f>
        <v>6.1299800872802734E-3</v>
      </c>
      <c r="M508" s="1">
        <f t="shared" ref="M508:M510" si="552">F508+H508</f>
        <v>0.11986004829406738</v>
      </c>
      <c r="N508" s="2">
        <v>169</v>
      </c>
      <c r="O508" s="2" t="s">
        <v>12</v>
      </c>
    </row>
    <row r="509" spans="1:15" x14ac:dyDescent="0.45">
      <c r="B509">
        <v>2</v>
      </c>
      <c r="C509">
        <f>E510-E509</f>
        <v>1.6849994659423828E-2</v>
      </c>
      <c r="E509" s="1">
        <v>1536840581.1545601</v>
      </c>
      <c r="F509" s="1">
        <f t="shared" ref="F509" si="553">E509-G509+0.13</f>
        <v>0.20349014282226563</v>
      </c>
      <c r="G509" s="1">
        <v>1536840581.0810699</v>
      </c>
      <c r="H509">
        <f>G509-I509</f>
        <v>7.7500343322753906E-3</v>
      </c>
      <c r="I509" s="1">
        <v>1536840581.0733199</v>
      </c>
      <c r="M509" s="1">
        <f t="shared" si="552"/>
        <v>0.21124017715454102</v>
      </c>
      <c r="N509" s="2">
        <v>122</v>
      </c>
      <c r="O509" s="2" t="s">
        <v>13</v>
      </c>
    </row>
    <row r="510" spans="1:15" x14ac:dyDescent="0.45">
      <c r="B510">
        <v>3</v>
      </c>
      <c r="E510" s="1">
        <v>1536840581.1714101</v>
      </c>
      <c r="F510" s="1">
        <f t="shared" ref="F510" si="554">G510-E510-0.13</f>
        <v>-8.8950042724609379E-2</v>
      </c>
      <c r="G510" s="1">
        <v>1536840581.21246</v>
      </c>
      <c r="H510">
        <f>I510-G510</f>
        <v>0.26073002815246582</v>
      </c>
      <c r="I510" s="1">
        <v>1536840581.4731901</v>
      </c>
      <c r="K510">
        <f>I511-I510</f>
        <v>4.7839879989624023E-2</v>
      </c>
      <c r="M510" s="1">
        <f t="shared" si="552"/>
        <v>0.17177998542785644</v>
      </c>
      <c r="N510" s="2">
        <v>201</v>
      </c>
      <c r="O510" s="2" t="s">
        <v>12</v>
      </c>
    </row>
    <row r="511" spans="1:15" x14ac:dyDescent="0.45">
      <c r="B511">
        <v>4</v>
      </c>
      <c r="C511">
        <f>E512-E511</f>
        <v>0.15309000015258789</v>
      </c>
      <c r="E511" s="1">
        <v>1536840581.76916</v>
      </c>
      <c r="F511" s="1">
        <f t="shared" ref="F511" si="555">E511-G511+0.13</f>
        <v>0.14197004318237305</v>
      </c>
      <c r="G511" s="1">
        <v>1536840581.75719</v>
      </c>
      <c r="H511">
        <f>G511-I511</f>
        <v>0.2361600399017334</v>
      </c>
      <c r="I511" s="1">
        <v>1536840581.5210299</v>
      </c>
      <c r="M511" s="1">
        <f t="shared" si="502"/>
        <v>0.37813008308410645</v>
      </c>
      <c r="N511" s="2">
        <v>616</v>
      </c>
      <c r="O511" s="2" t="s">
        <v>14</v>
      </c>
    </row>
    <row r="512" spans="1:15" x14ac:dyDescent="0.45">
      <c r="B512">
        <v>5</v>
      </c>
      <c r="E512" s="1">
        <v>1536840581.92225</v>
      </c>
      <c r="F512" s="1">
        <f t="shared" ref="F512" si="556">G512-E512-0.13</f>
        <v>-8.9789991378784184E-2</v>
      </c>
      <c r="G512" s="1">
        <v>1536840581.96246</v>
      </c>
      <c r="H512">
        <f>I512-G512</f>
        <v>0.38717985153198242</v>
      </c>
      <c r="I512" s="1">
        <v>1536840582.3496399</v>
      </c>
      <c r="K512">
        <f>I513-I512</f>
        <v>9.8900079727172852E-2</v>
      </c>
      <c r="M512" s="1">
        <f t="shared" si="502"/>
        <v>0.29738986015319824</v>
      </c>
      <c r="N512" s="2">
        <v>438</v>
      </c>
      <c r="O512" s="2" t="s">
        <v>15</v>
      </c>
    </row>
    <row r="513" spans="1:15" x14ac:dyDescent="0.45">
      <c r="B513">
        <v>6</v>
      </c>
      <c r="C513">
        <f>E514-E513</f>
        <v>4.1010141372680664E-2</v>
      </c>
      <c r="E513" s="1">
        <v>1536840582.4876399</v>
      </c>
      <c r="F513" s="1">
        <f t="shared" ref="F513" si="557">E513-G513+0.13</f>
        <v>0.1878598976135254</v>
      </c>
      <c r="G513" s="1">
        <v>1536840582.42978</v>
      </c>
      <c r="H513">
        <f>G513-I513</f>
        <v>-1.8759965896606445E-2</v>
      </c>
      <c r="I513" s="1">
        <v>1536840582.44854</v>
      </c>
      <c r="M513" s="1">
        <f t="shared" si="502"/>
        <v>0.16909993171691895</v>
      </c>
      <c r="N513" s="2">
        <v>129</v>
      </c>
      <c r="O513" s="2" t="s">
        <v>16</v>
      </c>
    </row>
    <row r="514" spans="1:15" x14ac:dyDescent="0.45">
      <c r="B514">
        <v>7</v>
      </c>
      <c r="E514" s="1">
        <v>1536840582.52865</v>
      </c>
      <c r="F514" s="1">
        <f t="shared" ref="F514" si="558">G514-E514-0.13</f>
        <v>-8.961999893188477E-2</v>
      </c>
      <c r="G514" s="1">
        <v>1536840582.56903</v>
      </c>
      <c r="H514">
        <f>I514-G514</f>
        <v>0.18736004829406738</v>
      </c>
      <c r="I514" s="1">
        <v>1536840582.7563901</v>
      </c>
      <c r="K514">
        <f>I515-I514</f>
        <v>0.13582992553710938</v>
      </c>
      <c r="M514" s="1">
        <f t="shared" si="502"/>
        <v>9.7740049362182613E-2</v>
      </c>
      <c r="N514" s="2">
        <v>113</v>
      </c>
      <c r="O514" s="2" t="s">
        <v>17</v>
      </c>
    </row>
    <row r="515" spans="1:15" x14ac:dyDescent="0.45">
      <c r="B515">
        <v>8</v>
      </c>
      <c r="E515" s="1">
        <v>1536840582.89499</v>
      </c>
      <c r="F515" s="1">
        <f t="shared" ref="F515" si="559">E515-G515+0.13</f>
        <v>0.18827999114990235</v>
      </c>
      <c r="G515" s="1">
        <v>1536840582.83671</v>
      </c>
      <c r="H515">
        <f>G515-I515</f>
        <v>-5.5510044097900391E-2</v>
      </c>
      <c r="I515" s="1">
        <v>1536840582.89222</v>
      </c>
      <c r="M515" s="1">
        <f t="shared" si="502"/>
        <v>0.13276994705200196</v>
      </c>
      <c r="N515" s="2">
        <v>104</v>
      </c>
      <c r="O515" s="2" t="s">
        <v>17</v>
      </c>
    </row>
    <row r="516" spans="1:15" x14ac:dyDescent="0.45">
      <c r="B516" t="s">
        <v>3</v>
      </c>
      <c r="C516">
        <f>C509+C511+C513</f>
        <v>0.21095013618469238</v>
      </c>
      <c r="F516">
        <f t="shared" ref="F516" si="560">SUM(F508:F515)</f>
        <v>0.36928009986877441</v>
      </c>
      <c r="H516">
        <f>SUM(H508:H515)</f>
        <v>1.2087299823760986</v>
      </c>
      <c r="K516">
        <f>K508+K510+K512+K514</f>
        <v>0.28869986534118652</v>
      </c>
      <c r="M516" t="s">
        <v>18</v>
      </c>
      <c r="N516" s="2" t="s">
        <v>10</v>
      </c>
      <c r="O516" s="2" t="s">
        <v>11</v>
      </c>
    </row>
    <row r="517" spans="1:15" x14ac:dyDescent="0.45">
      <c r="A517">
        <v>58</v>
      </c>
      <c r="B517">
        <v>1</v>
      </c>
      <c r="E517" s="1">
        <v>1536840586.28807</v>
      </c>
      <c r="F517" s="1">
        <f t="shared" ref="F517" si="561">G517-E517-0.13</f>
        <v>-8.6889867782592778E-2</v>
      </c>
      <c r="G517" s="1">
        <v>1536840586.3311801</v>
      </c>
      <c r="H517">
        <f>I517-G517</f>
        <v>0.20161986351013184</v>
      </c>
      <c r="I517" s="1">
        <v>1536840586.5328</v>
      </c>
      <c r="K517">
        <f>I518-I517</f>
        <v>6.8700313568115234E-3</v>
      </c>
      <c r="M517" s="1">
        <f t="shared" ref="M517:M519" si="562">F517+H517</f>
        <v>0.11472999572753906</v>
      </c>
      <c r="N517">
        <v>169</v>
      </c>
      <c r="O517" t="s">
        <v>12</v>
      </c>
    </row>
    <row r="518" spans="1:15" x14ac:dyDescent="0.45">
      <c r="B518">
        <v>2</v>
      </c>
      <c r="C518">
        <f>E519-E518</f>
        <v>2.0499944686889648E-2</v>
      </c>
      <c r="E518" s="1">
        <v>1536840586.5818</v>
      </c>
      <c r="F518" s="1">
        <f t="shared" ref="F518" si="563">E518-G518+0.13</f>
        <v>0.16683996200561524</v>
      </c>
      <c r="G518" s="1">
        <v>1536840586.54496</v>
      </c>
      <c r="H518">
        <f>G518-I518</f>
        <v>5.2900314331054688E-3</v>
      </c>
      <c r="I518" s="1">
        <v>1536840586.53967</v>
      </c>
      <c r="M518" s="1">
        <f t="shared" si="562"/>
        <v>0.17212999343872071</v>
      </c>
      <c r="N518">
        <v>122</v>
      </c>
      <c r="O518" t="s">
        <v>13</v>
      </c>
    </row>
    <row r="519" spans="1:15" x14ac:dyDescent="0.45">
      <c r="B519">
        <v>3</v>
      </c>
      <c r="E519" s="1">
        <v>1536840586.6022999</v>
      </c>
      <c r="F519" s="1">
        <f t="shared" ref="F519" si="564">G519-E519-0.13</f>
        <v>-9.178984642028809E-2</v>
      </c>
      <c r="G519" s="1">
        <v>1536840586.6405101</v>
      </c>
      <c r="H519">
        <f>I519-G519</f>
        <v>0.23083996772766113</v>
      </c>
      <c r="I519" s="1">
        <v>1536840586.87135</v>
      </c>
      <c r="K519">
        <f>I520-I519</f>
        <v>5.5660009384155273E-2</v>
      </c>
      <c r="M519" s="1">
        <f t="shared" si="562"/>
        <v>0.13905012130737304</v>
      </c>
      <c r="N519">
        <v>201</v>
      </c>
      <c r="O519" t="s">
        <v>12</v>
      </c>
    </row>
    <row r="520" spans="1:15" x14ac:dyDescent="0.45">
      <c r="B520">
        <v>4</v>
      </c>
      <c r="C520">
        <f>E521-E520</f>
        <v>0.14646005630493164</v>
      </c>
      <c r="E520" s="1">
        <v>1536840587.29847</v>
      </c>
      <c r="F520" s="1">
        <f t="shared" ref="F520" si="565">E520-G520+0.13</f>
        <v>0.20874011993408204</v>
      </c>
      <c r="G520" s="1">
        <v>1536840587.2197299</v>
      </c>
      <c r="H520">
        <f>G520-I520</f>
        <v>0.29271984100341797</v>
      </c>
      <c r="I520" s="1">
        <v>1536840586.9270101</v>
      </c>
      <c r="M520" s="1">
        <f t="shared" si="502"/>
        <v>0.5014599609375</v>
      </c>
      <c r="N520">
        <v>616</v>
      </c>
      <c r="O520" t="s">
        <v>14</v>
      </c>
    </row>
    <row r="521" spans="1:15" x14ac:dyDescent="0.45">
      <c r="B521">
        <v>5</v>
      </c>
      <c r="E521" s="1">
        <v>1536840587.4449301</v>
      </c>
      <c r="F521" s="1">
        <f t="shared" ref="F521" si="566">G521-E521-0.13</f>
        <v>-9.2320089340209965E-2</v>
      </c>
      <c r="G521" s="1">
        <v>1536840587.48261</v>
      </c>
      <c r="H521">
        <f>I521-G521</f>
        <v>0.33269000053405762</v>
      </c>
      <c r="I521" s="1">
        <v>1536840587.8153</v>
      </c>
      <c r="K521">
        <f>I522-I521</f>
        <v>9.2950105667114258E-2</v>
      </c>
      <c r="M521" s="1">
        <f t="shared" si="502"/>
        <v>0.24036991119384765</v>
      </c>
      <c r="N521">
        <v>438</v>
      </c>
      <c r="O521" t="s">
        <v>15</v>
      </c>
    </row>
    <row r="522" spans="1:15" x14ac:dyDescent="0.45">
      <c r="B522">
        <v>6</v>
      </c>
      <c r="C522">
        <f>E523-E522</f>
        <v>4.0199995040893555E-2</v>
      </c>
      <c r="E522" s="1">
        <v>1536840587.91362</v>
      </c>
      <c r="F522" s="1">
        <f t="shared" ref="F522" si="567">E522-G522+0.13</f>
        <v>0.14925992965698243</v>
      </c>
      <c r="G522" s="1">
        <v>1536840587.8943601</v>
      </c>
      <c r="H522">
        <f>G522-I522</f>
        <v>-1.389002799987793E-2</v>
      </c>
      <c r="I522" s="1">
        <v>1536840587.9082501</v>
      </c>
      <c r="M522" s="1">
        <f t="shared" si="502"/>
        <v>0.1353699016571045</v>
      </c>
      <c r="N522">
        <v>129</v>
      </c>
      <c r="O522" t="s">
        <v>16</v>
      </c>
    </row>
    <row r="523" spans="1:15" x14ac:dyDescent="0.45">
      <c r="B523">
        <v>7</v>
      </c>
      <c r="E523" s="1">
        <v>1536840587.95382</v>
      </c>
      <c r="F523" s="1">
        <f t="shared" ref="F523" si="568">G523-E523-0.13</f>
        <v>-9.298003196716309E-2</v>
      </c>
      <c r="G523" s="1">
        <v>1536840587.99084</v>
      </c>
      <c r="H523">
        <f>I523-G523</f>
        <v>0.16372013092041016</v>
      </c>
      <c r="I523" s="1">
        <v>1536840588.1545601</v>
      </c>
      <c r="K523">
        <f>I524-I523</f>
        <v>0.1358799934387207</v>
      </c>
      <c r="M523" s="1">
        <f t="shared" si="502"/>
        <v>7.0740098953247066E-2</v>
      </c>
      <c r="N523">
        <v>113</v>
      </c>
      <c r="O523" t="s">
        <v>17</v>
      </c>
    </row>
    <row r="524" spans="1:15" x14ac:dyDescent="0.45">
      <c r="B524">
        <v>8</v>
      </c>
      <c r="E524" s="1">
        <v>1536840588.2218201</v>
      </c>
      <c r="F524" s="1">
        <f t="shared" ref="F524" si="569">E524-G524+0.13</f>
        <v>0.11808002471923829</v>
      </c>
      <c r="G524" s="1">
        <v>1536840588.2337401</v>
      </c>
      <c r="H524">
        <f>G524-I524</f>
        <v>-5.6699991226196289E-2</v>
      </c>
      <c r="I524" s="1">
        <v>1536840588.2904401</v>
      </c>
      <c r="M524" s="1">
        <f t="shared" si="502"/>
        <v>6.1380033493041997E-2</v>
      </c>
      <c r="N524">
        <v>104</v>
      </c>
      <c r="O524" t="s">
        <v>17</v>
      </c>
    </row>
    <row r="525" spans="1:15" x14ac:dyDescent="0.45">
      <c r="B525" t="s">
        <v>3</v>
      </c>
      <c r="C525">
        <f>C518+C520+C522</f>
        <v>0.20715999603271484</v>
      </c>
      <c r="F525">
        <f t="shared" ref="F525" si="570">SUM(F517:F524)</f>
        <v>0.27894020080566406</v>
      </c>
      <c r="H525">
        <f>SUM(H517:H524)</f>
        <v>1.15628981590271</v>
      </c>
      <c r="K525">
        <f>K517+K519+K521+K523</f>
        <v>0.29136013984680176</v>
      </c>
      <c r="M525" t="s">
        <v>18</v>
      </c>
      <c r="N525" t="s">
        <v>10</v>
      </c>
      <c r="O525" t="s">
        <v>11</v>
      </c>
    </row>
    <row r="526" spans="1:15" x14ac:dyDescent="0.45">
      <c r="A526">
        <v>59</v>
      </c>
      <c r="B526">
        <v>1</v>
      </c>
      <c r="E526" s="1">
        <v>1536840593.0573699</v>
      </c>
      <c r="F526" s="1">
        <f t="shared" ref="F526" si="571">G526-E526-0.13</f>
        <v>-9.0029840469360356E-2</v>
      </c>
      <c r="G526" s="1">
        <v>1536840593.0973401</v>
      </c>
      <c r="H526">
        <f>I526-G526</f>
        <v>0.25067996978759766</v>
      </c>
      <c r="I526" s="1">
        <v>1536840593.3480201</v>
      </c>
      <c r="K526">
        <f>I527-I526</f>
        <v>6.1798095703125E-3</v>
      </c>
      <c r="M526" s="1">
        <f t="shared" ref="M526:M587" si="572">F526+H526</f>
        <v>0.1606501293182373</v>
      </c>
      <c r="N526" s="2">
        <v>169</v>
      </c>
      <c r="O526" s="2" t="s">
        <v>12</v>
      </c>
    </row>
    <row r="527" spans="1:15" x14ac:dyDescent="0.45">
      <c r="B527">
        <v>2</v>
      </c>
      <c r="C527">
        <f>E528-E527</f>
        <v>1.7890214920043945E-2</v>
      </c>
      <c r="E527" s="1">
        <v>1536840593.4439199</v>
      </c>
      <c r="F527" s="1">
        <f t="shared" ref="F527" si="573">E527-G527+0.13</f>
        <v>0.21500981330871582</v>
      </c>
      <c r="G527" s="1">
        <v>1536840593.3589101</v>
      </c>
      <c r="H527">
        <f>G527-I527</f>
        <v>4.7101974487304688E-3</v>
      </c>
      <c r="I527" s="1">
        <v>1536840593.3541999</v>
      </c>
      <c r="M527" s="1">
        <f t="shared" si="572"/>
        <v>0.21972001075744629</v>
      </c>
      <c r="N527" s="2">
        <v>122</v>
      </c>
      <c r="O527" s="2" t="s">
        <v>13</v>
      </c>
    </row>
    <row r="528" spans="1:15" x14ac:dyDescent="0.45">
      <c r="B528">
        <v>3</v>
      </c>
      <c r="E528" s="1">
        <v>1536840593.4618101</v>
      </c>
      <c r="F528" s="1">
        <f t="shared" ref="F528" si="574">G528-E528-0.13</f>
        <v>-9.5450048446655278E-2</v>
      </c>
      <c r="G528" s="1">
        <v>1536840593.4963601</v>
      </c>
      <c r="H528">
        <f>I528-G528</f>
        <v>0.25769996643066406</v>
      </c>
      <c r="I528" s="1">
        <v>1536840593.75406</v>
      </c>
      <c r="K528">
        <f>I529-I528</f>
        <v>4.7139883041381836E-2</v>
      </c>
      <c r="M528" s="1">
        <f t="shared" si="572"/>
        <v>0.16224991798400878</v>
      </c>
      <c r="N528" s="2">
        <v>201</v>
      </c>
      <c r="O528" s="2" t="s">
        <v>12</v>
      </c>
    </row>
    <row r="529" spans="1:15" x14ac:dyDescent="0.45">
      <c r="B529">
        <v>4</v>
      </c>
      <c r="C529">
        <f>E530-E529</f>
        <v>0.16023993492126465</v>
      </c>
      <c r="E529" s="1">
        <v>1536840594.0578101</v>
      </c>
      <c r="F529" s="1">
        <f t="shared" ref="F529" si="575">E529-G529+0.13</f>
        <v>0.1521099853515625</v>
      </c>
      <c r="G529" s="1">
        <v>1536840594.0357001</v>
      </c>
      <c r="H529">
        <f>G529-I529</f>
        <v>0.23450016975402832</v>
      </c>
      <c r="I529" s="1">
        <v>1536840593.8011999</v>
      </c>
      <c r="M529" s="1">
        <f t="shared" si="572"/>
        <v>0.38661015510559082</v>
      </c>
      <c r="N529" s="2">
        <v>616</v>
      </c>
      <c r="O529" s="2" t="s">
        <v>14</v>
      </c>
    </row>
    <row r="530" spans="1:15" x14ac:dyDescent="0.45">
      <c r="B530">
        <v>5</v>
      </c>
      <c r="E530" s="1">
        <v>1536840594.21805</v>
      </c>
      <c r="F530" s="1">
        <f t="shared" ref="F530" si="576">G530-E530-0.13</f>
        <v>-9.5950012207031254E-2</v>
      </c>
      <c r="G530" s="1">
        <v>1536840594.2521</v>
      </c>
      <c r="H530">
        <f>I530-G530</f>
        <v>0.37907004356384277</v>
      </c>
      <c r="I530" s="1">
        <v>1536840594.63117</v>
      </c>
      <c r="K530">
        <f>I531-I530</f>
        <v>7.2759866714477539E-2</v>
      </c>
      <c r="M530" s="1">
        <f t="shared" si="572"/>
        <v>0.28312003135681152</v>
      </c>
      <c r="N530" s="2">
        <v>438</v>
      </c>
      <c r="O530" s="2" t="s">
        <v>15</v>
      </c>
    </row>
    <row r="531" spans="1:15" x14ac:dyDescent="0.45">
      <c r="B531">
        <v>6</v>
      </c>
      <c r="C531">
        <f>E532-E531</f>
        <v>3.9290189743041992E-2</v>
      </c>
      <c r="E531" s="1">
        <v>1536840594.7757499</v>
      </c>
      <c r="F531" s="1">
        <f t="shared" ref="F531" si="577">E531-G531+0.13</f>
        <v>0.19743001937866211</v>
      </c>
      <c r="G531" s="1">
        <v>1536840594.7083199</v>
      </c>
      <c r="H531">
        <f>G531-I531</f>
        <v>4.3900012969970703E-3</v>
      </c>
      <c r="I531" s="1">
        <v>1536840594.7039299</v>
      </c>
      <c r="M531" s="1">
        <f t="shared" si="572"/>
        <v>0.20182002067565918</v>
      </c>
      <c r="N531" s="2">
        <v>129</v>
      </c>
      <c r="O531" s="2" t="s">
        <v>16</v>
      </c>
    </row>
    <row r="532" spans="1:15" x14ac:dyDescent="0.45">
      <c r="B532">
        <v>7</v>
      </c>
      <c r="E532" s="1">
        <v>1536840594.8150401</v>
      </c>
      <c r="F532" s="1">
        <f t="shared" ref="F532" si="578">G532-E532-0.13</f>
        <v>-9.6289997100830083E-2</v>
      </c>
      <c r="G532" s="1">
        <v>1536840594.8487501</v>
      </c>
      <c r="H532">
        <f>I532-G532</f>
        <v>0.18852996826171875</v>
      </c>
      <c r="I532" s="1">
        <v>1536840595.0372801</v>
      </c>
      <c r="K532">
        <f>I533-I532</f>
        <v>0.1355898380279541</v>
      </c>
      <c r="M532" s="1">
        <f t="shared" si="572"/>
        <v>9.2239971160888667E-2</v>
      </c>
      <c r="N532" s="2">
        <v>113</v>
      </c>
      <c r="O532" s="2" t="s">
        <v>17</v>
      </c>
    </row>
    <row r="533" spans="1:15" x14ac:dyDescent="0.45">
      <c r="B533">
        <v>8</v>
      </c>
      <c r="E533" s="1">
        <v>1536840595.1831901</v>
      </c>
      <c r="F533" s="1">
        <f t="shared" ref="F533" si="579">E533-G533+0.13</f>
        <v>0.19804013252258301</v>
      </c>
      <c r="G533" s="1">
        <v>1536840595.11515</v>
      </c>
      <c r="H533">
        <f>G533-I533</f>
        <v>-5.7719945907592773E-2</v>
      </c>
      <c r="I533" s="1">
        <v>1536840595.1728699</v>
      </c>
      <c r="M533" s="1">
        <f t="shared" si="572"/>
        <v>0.14032018661499024</v>
      </c>
      <c r="N533" s="2">
        <v>104</v>
      </c>
      <c r="O533" s="2" t="s">
        <v>17</v>
      </c>
    </row>
    <row r="534" spans="1:15" x14ac:dyDescent="0.45">
      <c r="B534" t="s">
        <v>3</v>
      </c>
      <c r="C534">
        <f>C527+C529+C531</f>
        <v>0.21742033958435059</v>
      </c>
      <c r="F534">
        <f t="shared" ref="F534" si="580">SUM(F526:F533)</f>
        <v>0.38487005233764648</v>
      </c>
      <c r="H534">
        <f>SUM(H526:H533)</f>
        <v>1.2618603706359863</v>
      </c>
      <c r="K534">
        <f>K526+K528+K530+K532</f>
        <v>0.26166939735412598</v>
      </c>
      <c r="M534" t="s">
        <v>18</v>
      </c>
      <c r="N534" s="2" t="s">
        <v>10</v>
      </c>
      <c r="O534" s="2" t="s">
        <v>11</v>
      </c>
    </row>
    <row r="535" spans="1:15" x14ac:dyDescent="0.45">
      <c r="A535">
        <v>60</v>
      </c>
      <c r="B535">
        <v>1</v>
      </c>
      <c r="E535" s="1">
        <v>1536840600.37936</v>
      </c>
      <c r="F535" s="1">
        <f t="shared" ref="F535" si="581">G535-E535-0.13</f>
        <v>-9.3459968566894536E-2</v>
      </c>
      <c r="G535" s="1">
        <v>1536840600.4159</v>
      </c>
      <c r="H535">
        <f>I535-G535</f>
        <v>0.21973991394042969</v>
      </c>
      <c r="I535" s="1">
        <v>1536840600.6356399</v>
      </c>
      <c r="K535">
        <f>I536-I535</f>
        <v>6.5901279449462891E-3</v>
      </c>
      <c r="M535" s="1">
        <f t="shared" ref="M535:M537" si="582">F535+H535</f>
        <v>0.12627994537353515</v>
      </c>
      <c r="N535">
        <v>169</v>
      </c>
      <c r="O535" t="s">
        <v>12</v>
      </c>
    </row>
    <row r="536" spans="1:15" x14ac:dyDescent="0.45">
      <c r="B536">
        <v>2</v>
      </c>
      <c r="C536">
        <f>E537-E536</f>
        <v>1.9860029220581055E-2</v>
      </c>
      <c r="E536" s="1">
        <v>1536840600.7132599</v>
      </c>
      <c r="F536" s="1">
        <f t="shared" ref="F536" si="583">E536-G536+0.13</f>
        <v>0.19808996200561524</v>
      </c>
      <c r="G536" s="1">
        <v>1536840600.64517</v>
      </c>
      <c r="H536">
        <f>G536-I536</f>
        <v>2.9399394989013672E-3</v>
      </c>
      <c r="I536" s="1">
        <v>1536840600.64223</v>
      </c>
      <c r="M536" s="1">
        <f t="shared" si="582"/>
        <v>0.20102990150451661</v>
      </c>
      <c r="N536">
        <v>122</v>
      </c>
      <c r="O536" t="s">
        <v>13</v>
      </c>
    </row>
    <row r="537" spans="1:15" x14ac:dyDescent="0.45">
      <c r="B537">
        <v>3</v>
      </c>
      <c r="E537" s="1">
        <v>1536840600.73312</v>
      </c>
      <c r="F537" s="1">
        <f t="shared" ref="F537" si="584">G537-E537-0.13</f>
        <v>-9.8950033187866215E-2</v>
      </c>
      <c r="G537" s="1">
        <v>1536840600.7641699</v>
      </c>
      <c r="H537">
        <f>I537-G537</f>
        <v>0.21006011962890625</v>
      </c>
      <c r="I537" s="1">
        <v>1536840600.9742301</v>
      </c>
      <c r="K537">
        <f>I538-I537</f>
        <v>4.6959877014160156E-2</v>
      </c>
      <c r="M537" s="1">
        <f t="shared" si="582"/>
        <v>0.11111008644104003</v>
      </c>
      <c r="N537">
        <v>201</v>
      </c>
      <c r="O537" t="s">
        <v>12</v>
      </c>
    </row>
    <row r="538" spans="1:15" x14ac:dyDescent="0.45">
      <c r="B538">
        <v>4</v>
      </c>
      <c r="C538">
        <f>E539-E538</f>
        <v>0.16963005065917969</v>
      </c>
      <c r="E538" s="1">
        <v>1536840601.33022</v>
      </c>
      <c r="F538" s="1">
        <f t="shared" ref="F538" si="585">E538-G538+0.13</f>
        <v>0.20570004463195801</v>
      </c>
      <c r="G538" s="1">
        <v>1536840601.2545199</v>
      </c>
      <c r="H538">
        <f>G538-I538</f>
        <v>0.23333001136779785</v>
      </c>
      <c r="I538" s="1">
        <v>1536840601.0211899</v>
      </c>
      <c r="M538" s="1">
        <f t="shared" si="572"/>
        <v>0.43903005599975586</v>
      </c>
      <c r="N538">
        <v>616</v>
      </c>
      <c r="O538" t="s">
        <v>14</v>
      </c>
    </row>
    <row r="539" spans="1:15" x14ac:dyDescent="0.45">
      <c r="B539">
        <v>5</v>
      </c>
      <c r="E539" s="1">
        <v>1536840601.49985</v>
      </c>
      <c r="F539" s="1">
        <f t="shared" ref="F539" si="586">G539-E539-0.13</f>
        <v>-9.7610120773315434E-2</v>
      </c>
      <c r="G539" s="1">
        <v>1536840601.5322399</v>
      </c>
      <c r="H539">
        <f>I539-G539</f>
        <v>0.38774013519287109</v>
      </c>
      <c r="I539" s="1">
        <v>1536840601.91998</v>
      </c>
      <c r="K539">
        <f>I540-I539</f>
        <v>9.2509984970092773E-2</v>
      </c>
      <c r="M539" s="1">
        <f t="shared" si="572"/>
        <v>0.29013001441955566</v>
      </c>
      <c r="N539">
        <v>438</v>
      </c>
      <c r="O539" t="s">
        <v>15</v>
      </c>
    </row>
    <row r="540" spans="1:15" x14ac:dyDescent="0.45">
      <c r="B540">
        <v>6</v>
      </c>
      <c r="C540">
        <f>E541-E540</f>
        <v>4.6419858932495117E-2</v>
      </c>
      <c r="E540" s="1">
        <v>1536840602.0471101</v>
      </c>
      <c r="F540" s="1">
        <f t="shared" ref="F540" si="587">E540-G540+0.13</f>
        <v>0.18253005027770997</v>
      </c>
      <c r="G540" s="1">
        <v>1536840601.99458</v>
      </c>
      <c r="H540">
        <f>G540-I540</f>
        <v>-1.7910003662109375E-2</v>
      </c>
      <c r="I540" s="1">
        <v>1536840602.01249</v>
      </c>
      <c r="M540" s="1">
        <f t="shared" si="572"/>
        <v>0.16462004661560059</v>
      </c>
      <c r="N540">
        <v>129</v>
      </c>
      <c r="O540" t="s">
        <v>16</v>
      </c>
    </row>
    <row r="541" spans="1:15" x14ac:dyDescent="0.45">
      <c r="B541">
        <v>7</v>
      </c>
      <c r="E541" s="1">
        <v>1536840602.0935299</v>
      </c>
      <c r="F541" s="1">
        <f t="shared" ref="F541" si="588">G541-E541-0.13</f>
        <v>-9.99699878692627E-2</v>
      </c>
      <c r="G541" s="1">
        <v>1536840602.12356</v>
      </c>
      <c r="H541">
        <f>I541-G541</f>
        <v>0.13390016555786133</v>
      </c>
      <c r="I541" s="1">
        <v>1536840602.2574601</v>
      </c>
      <c r="K541">
        <f>I542-I541</f>
        <v>0.13525986671447754</v>
      </c>
      <c r="M541" s="1">
        <f t="shared" si="572"/>
        <v>3.3930177688598628E-2</v>
      </c>
      <c r="N541">
        <v>113</v>
      </c>
      <c r="O541" t="s">
        <v>17</v>
      </c>
    </row>
    <row r="542" spans="1:15" x14ac:dyDescent="0.45">
      <c r="B542">
        <v>8</v>
      </c>
      <c r="E542" s="1">
        <v>1536840602.3519101</v>
      </c>
      <c r="F542" s="1">
        <f t="shared" ref="F542" si="589">E542-G542+0.13</f>
        <v>0.14796007156372071</v>
      </c>
      <c r="G542" s="1">
        <v>1536840602.33395</v>
      </c>
      <c r="H542">
        <f>G542-I542</f>
        <v>-5.8769941329956055E-2</v>
      </c>
      <c r="I542" s="1">
        <v>1536840602.39272</v>
      </c>
      <c r="M542" s="1">
        <f t="shared" si="572"/>
        <v>8.9190130233764653E-2</v>
      </c>
      <c r="N542">
        <v>104</v>
      </c>
      <c r="O542" t="s">
        <v>17</v>
      </c>
    </row>
    <row r="543" spans="1:15" x14ac:dyDescent="0.45">
      <c r="B543" t="s">
        <v>3</v>
      </c>
      <c r="C543">
        <f>C536+C538+C540</f>
        <v>0.23590993881225586</v>
      </c>
      <c r="F543">
        <f t="shared" ref="F543" si="590">SUM(F535:F542)</f>
        <v>0.34429001808166504</v>
      </c>
      <c r="H543">
        <f>SUM(H535:H542)</f>
        <v>1.1110303401947021</v>
      </c>
      <c r="K543">
        <f>K535+K537+K539+K541</f>
        <v>0.28131985664367676</v>
      </c>
      <c r="M543" t="s">
        <v>18</v>
      </c>
      <c r="N543" t="s">
        <v>10</v>
      </c>
      <c r="O543" t="s">
        <v>11</v>
      </c>
    </row>
    <row r="544" spans="1:15" x14ac:dyDescent="0.45">
      <c r="A544">
        <v>61</v>
      </c>
      <c r="B544">
        <v>1</v>
      </c>
      <c r="E544" s="1">
        <v>1536840605.84621</v>
      </c>
      <c r="F544" s="1">
        <f t="shared" ref="F544" si="591">G544-E544-0.13</f>
        <v>-9.5270042419433598E-2</v>
      </c>
      <c r="G544" s="1">
        <v>1536840605.88094</v>
      </c>
      <c r="H544">
        <f>I544-G544</f>
        <v>0.22051000595092773</v>
      </c>
      <c r="I544" s="1">
        <v>1536840606.10145</v>
      </c>
      <c r="K544">
        <f>I545-I544</f>
        <v>6.3300132751464844E-3</v>
      </c>
      <c r="M544" s="1">
        <f t="shared" ref="M544:M546" si="592">F544+H544</f>
        <v>0.12523996353149414</v>
      </c>
      <c r="N544" s="2">
        <v>169</v>
      </c>
      <c r="O544" s="2" t="s">
        <v>12</v>
      </c>
    </row>
    <row r="545" spans="1:15" x14ac:dyDescent="0.45">
      <c r="B545">
        <v>2</v>
      </c>
      <c r="C545">
        <f>E546-E545</f>
        <v>2.7220010757446289E-2</v>
      </c>
      <c r="E545" s="1">
        <v>1536840606.1406</v>
      </c>
      <c r="F545" s="1">
        <f t="shared" ref="F545" si="593">E545-G545+0.13</f>
        <v>0.1607300090789795</v>
      </c>
      <c r="G545" s="1">
        <v>1536840606.10987</v>
      </c>
      <c r="H545">
        <f>G545-I545</f>
        <v>2.0899772644042969E-3</v>
      </c>
      <c r="I545" s="1">
        <v>1536840606.10778</v>
      </c>
      <c r="M545" s="1">
        <f t="shared" si="592"/>
        <v>0.16281998634338379</v>
      </c>
      <c r="N545" s="2">
        <v>122</v>
      </c>
      <c r="O545" s="2" t="s">
        <v>13</v>
      </c>
    </row>
    <row r="546" spans="1:15" x14ac:dyDescent="0.45">
      <c r="B546">
        <v>3</v>
      </c>
      <c r="E546" s="1">
        <v>1536840606.16782</v>
      </c>
      <c r="F546" s="1">
        <f t="shared" ref="F546" si="594">G546-E546-0.13</f>
        <v>-0.10198987007141114</v>
      </c>
      <c r="G546" s="1">
        <v>1536840606.1958301</v>
      </c>
      <c r="H546">
        <f>I546-G546</f>
        <v>0.24417996406555176</v>
      </c>
      <c r="I546" s="1">
        <v>1536840606.4400101</v>
      </c>
      <c r="K546">
        <f>I547-I546</f>
        <v>4.6159982681274414E-2</v>
      </c>
      <c r="M546" s="1">
        <f t="shared" si="592"/>
        <v>0.14219009399414062</v>
      </c>
      <c r="N546" s="2">
        <v>201</v>
      </c>
      <c r="O546" s="2" t="s">
        <v>12</v>
      </c>
    </row>
    <row r="547" spans="1:15" x14ac:dyDescent="0.45">
      <c r="B547">
        <v>4</v>
      </c>
      <c r="C547">
        <f>E548-E547</f>
        <v>0.16208004951477051</v>
      </c>
      <c r="E547" s="1">
        <v>1536840606.85748</v>
      </c>
      <c r="F547" s="1">
        <f t="shared" ref="F547" si="595">E547-G547+0.13</f>
        <v>0.20144999504089356</v>
      </c>
      <c r="G547" s="1">
        <v>1536840606.7860301</v>
      </c>
      <c r="H547">
        <f>G547-I547</f>
        <v>0.29986000061035156</v>
      </c>
      <c r="I547" s="1">
        <v>1536840606.4861701</v>
      </c>
      <c r="M547" s="1">
        <f t="shared" si="572"/>
        <v>0.50130999565124512</v>
      </c>
      <c r="N547" s="2">
        <v>616</v>
      </c>
      <c r="O547" s="2" t="s">
        <v>14</v>
      </c>
    </row>
    <row r="548" spans="1:15" x14ac:dyDescent="0.45">
      <c r="B548">
        <v>5</v>
      </c>
      <c r="E548" s="1">
        <v>1536840607.0195601</v>
      </c>
      <c r="F548" s="1">
        <f t="shared" ref="F548" si="596">G548-E548-0.13</f>
        <v>-0.10240018844604493</v>
      </c>
      <c r="G548" s="1">
        <v>1536840607.0471599</v>
      </c>
      <c r="H548">
        <f>I548-G548</f>
        <v>0.33682012557983398</v>
      </c>
      <c r="I548" s="1">
        <v>1536840607.38398</v>
      </c>
      <c r="K548">
        <f>I549-I548</f>
        <v>9.3080043792724609E-2</v>
      </c>
      <c r="M548" s="1">
        <f t="shared" si="572"/>
        <v>0.23441993713378906</v>
      </c>
      <c r="N548" s="2">
        <v>438</v>
      </c>
      <c r="O548" s="2" t="s">
        <v>15</v>
      </c>
    </row>
    <row r="549" spans="1:15" x14ac:dyDescent="0.45">
      <c r="B549">
        <v>6</v>
      </c>
      <c r="C549">
        <f>E550-E549</f>
        <v>4.8840045928955078E-2</v>
      </c>
      <c r="E549" s="1">
        <v>1536840607.4716699</v>
      </c>
      <c r="F549" s="1">
        <f t="shared" ref="F549" si="597">E549-G549+0.13</f>
        <v>0.14235985755920411</v>
      </c>
      <c r="G549" s="1">
        <v>1536840607.4593101</v>
      </c>
      <c r="H549">
        <f>G549-I549</f>
        <v>-1.7750024795532227E-2</v>
      </c>
      <c r="I549" s="1">
        <v>1536840607.4770601</v>
      </c>
      <c r="M549" s="1">
        <f t="shared" si="572"/>
        <v>0.12460983276367188</v>
      </c>
      <c r="N549" s="2">
        <v>129</v>
      </c>
      <c r="O549" s="2" t="s">
        <v>16</v>
      </c>
    </row>
    <row r="550" spans="1:15" x14ac:dyDescent="0.45">
      <c r="B550">
        <v>7</v>
      </c>
      <c r="E550" s="1">
        <v>1536840607.52051</v>
      </c>
      <c r="F550" s="1">
        <f t="shared" ref="F550" si="598">G550-E550-0.13</f>
        <v>-0.10314000129699707</v>
      </c>
      <c r="G550" s="1">
        <v>1536840607.54737</v>
      </c>
      <c r="H550">
        <f>I550-G550</f>
        <v>0.17588996887207031</v>
      </c>
      <c r="I550" s="1">
        <v>1536840607.7232599</v>
      </c>
      <c r="K550">
        <f>I551-I550</f>
        <v>0.13644003868103027</v>
      </c>
      <c r="M550" s="1">
        <f t="shared" si="572"/>
        <v>7.2749967575073238E-2</v>
      </c>
      <c r="N550" s="2">
        <v>113</v>
      </c>
      <c r="O550" s="2" t="s">
        <v>17</v>
      </c>
    </row>
    <row r="551" spans="1:15" x14ac:dyDescent="0.45">
      <c r="B551">
        <v>8</v>
      </c>
      <c r="E551" s="1">
        <v>1536840607.88135</v>
      </c>
      <c r="F551" s="1">
        <f t="shared" ref="F551" si="599">E551-G551+0.13</f>
        <v>0.212550048828125</v>
      </c>
      <c r="G551" s="1">
        <v>1536840607.7988</v>
      </c>
      <c r="H551">
        <f>G551-I551</f>
        <v>-6.0899972915649414E-2</v>
      </c>
      <c r="I551" s="1">
        <v>1536840607.8597</v>
      </c>
      <c r="M551" s="1">
        <f t="shared" si="572"/>
        <v>0.15165007591247559</v>
      </c>
      <c r="N551" s="2">
        <v>104</v>
      </c>
      <c r="O551" s="2" t="s">
        <v>17</v>
      </c>
    </row>
    <row r="552" spans="1:15" x14ac:dyDescent="0.45">
      <c r="B552" t="s">
        <v>3</v>
      </c>
      <c r="C552">
        <f>C545+C547+C549</f>
        <v>0.23814010620117188</v>
      </c>
      <c r="F552">
        <f t="shared" ref="F552" si="600">SUM(F544:F551)</f>
        <v>0.31428980827331543</v>
      </c>
      <c r="H552">
        <f>SUM(H544:H551)</f>
        <v>1.200700044631958</v>
      </c>
      <c r="K552">
        <f>K544+K546+K548+K550</f>
        <v>0.28201007843017578</v>
      </c>
      <c r="M552" t="s">
        <v>18</v>
      </c>
      <c r="N552" s="2" t="s">
        <v>10</v>
      </c>
      <c r="O552" s="2" t="s">
        <v>11</v>
      </c>
    </row>
    <row r="553" spans="1:15" x14ac:dyDescent="0.45">
      <c r="A553">
        <v>62</v>
      </c>
      <c r="B553">
        <v>1</v>
      </c>
      <c r="E553" s="1">
        <v>1536840614.48195</v>
      </c>
      <c r="F553" s="1">
        <f t="shared" ref="F553" si="601">G553-E553-0.13</f>
        <v>-0.1014500904083252</v>
      </c>
      <c r="G553" s="1">
        <v>1536840614.5105</v>
      </c>
      <c r="H553">
        <f>I553-G553</f>
        <v>0.22832012176513672</v>
      </c>
      <c r="I553" s="1">
        <v>1536840614.7388201</v>
      </c>
      <c r="K553">
        <f>I554-I553</f>
        <v>6.0899257659912109E-3</v>
      </c>
      <c r="M553" s="1">
        <f t="shared" ref="M553:M555" si="602">F553+H553</f>
        <v>0.12687003135681152</v>
      </c>
      <c r="N553">
        <v>169</v>
      </c>
      <c r="O553" t="s">
        <v>12</v>
      </c>
    </row>
    <row r="554" spans="1:15" x14ac:dyDescent="0.45">
      <c r="B554">
        <v>2</v>
      </c>
      <c r="C554">
        <f>E555-E554</f>
        <v>2.7319908142089844E-2</v>
      </c>
      <c r="E554" s="1">
        <v>1536840614.8467901</v>
      </c>
      <c r="F554" s="1">
        <f t="shared" ref="F554" si="603">E554-G554+0.13</f>
        <v>0.23125017166137696</v>
      </c>
      <c r="G554" s="1">
        <v>1536840614.7455399</v>
      </c>
      <c r="H554">
        <f>G554-I554</f>
        <v>6.2990188598632813E-4</v>
      </c>
      <c r="I554" s="1">
        <v>1536840614.74491</v>
      </c>
      <c r="M554" s="1">
        <f t="shared" si="602"/>
        <v>0.23188007354736329</v>
      </c>
      <c r="N554">
        <v>122</v>
      </c>
      <c r="O554" t="s">
        <v>13</v>
      </c>
    </row>
    <row r="555" spans="1:15" x14ac:dyDescent="0.45">
      <c r="B555">
        <v>3</v>
      </c>
      <c r="E555" s="1">
        <v>1536840614.87411</v>
      </c>
      <c r="F555" s="1">
        <f t="shared" ref="F555" si="604">G555-E555-0.13</f>
        <v>-0.10632002830505372</v>
      </c>
      <c r="G555" s="1">
        <v>1536840614.89779</v>
      </c>
      <c r="H555">
        <f>I555-G555</f>
        <v>0.24706006050109863</v>
      </c>
      <c r="I555" s="1">
        <v>1536840615.14485</v>
      </c>
      <c r="K555">
        <f>I556-I555</f>
        <v>4.5769929885864258E-2</v>
      </c>
      <c r="M555" s="1">
        <f t="shared" si="602"/>
        <v>0.14074003219604492</v>
      </c>
      <c r="N555">
        <v>201</v>
      </c>
      <c r="O555" t="s">
        <v>12</v>
      </c>
    </row>
    <row r="556" spans="1:15" x14ac:dyDescent="0.45">
      <c r="B556">
        <v>4</v>
      </c>
      <c r="C556">
        <f>E557-E556</f>
        <v>0.17033004760742188</v>
      </c>
      <c r="E556" s="1">
        <v>1536840615.45976</v>
      </c>
      <c r="F556" s="1">
        <f t="shared" ref="F556" si="605">E556-G556+0.13</f>
        <v>0.16740000724792481</v>
      </c>
      <c r="G556" s="1">
        <v>1536840615.4223599</v>
      </c>
      <c r="H556">
        <f>G556-I556</f>
        <v>0.23173999786376953</v>
      </c>
      <c r="I556" s="1">
        <v>1536840615.1906199</v>
      </c>
      <c r="M556" s="1">
        <f t="shared" si="572"/>
        <v>0.39914000511169434</v>
      </c>
      <c r="N556">
        <v>616</v>
      </c>
      <c r="O556" t="s">
        <v>14</v>
      </c>
    </row>
    <row r="557" spans="1:15" x14ac:dyDescent="0.45">
      <c r="B557">
        <v>5</v>
      </c>
      <c r="E557" s="1">
        <v>1536840615.63009</v>
      </c>
      <c r="F557" s="1">
        <f t="shared" ref="F557" si="606">G557-E557-0.13</f>
        <v>-0.10672009468078614</v>
      </c>
      <c r="G557" s="1">
        <v>1536840615.6533699</v>
      </c>
      <c r="H557">
        <f>I557-G557</f>
        <v>0.36796021461486816</v>
      </c>
      <c r="I557" s="1">
        <v>1536840616.0213301</v>
      </c>
      <c r="K557">
        <f>I558-I557</f>
        <v>0.10213994979858398</v>
      </c>
      <c r="M557" s="1">
        <f t="shared" si="572"/>
        <v>0.26124011993408203</v>
      </c>
      <c r="N557">
        <v>438</v>
      </c>
      <c r="O557" t="s">
        <v>15</v>
      </c>
    </row>
    <row r="558" spans="1:15" x14ac:dyDescent="0.45">
      <c r="B558">
        <v>6</v>
      </c>
      <c r="C558">
        <f>E559-E558</f>
        <v>4.6049833297729492E-2</v>
      </c>
      <c r="E558" s="1">
        <v>1536840616.1779201</v>
      </c>
      <c r="F558" s="1">
        <f t="shared" ref="F558" si="607">E558-G558+0.13</f>
        <v>0.21296012878417969</v>
      </c>
      <c r="G558" s="1">
        <v>1536840616.09496</v>
      </c>
      <c r="H558">
        <f>G558-I558</f>
        <v>-2.8510093688964844E-2</v>
      </c>
      <c r="I558" s="1">
        <v>1536840616.1234701</v>
      </c>
      <c r="M558" s="1">
        <f t="shared" si="572"/>
        <v>0.18445003509521485</v>
      </c>
      <c r="N558">
        <v>129</v>
      </c>
      <c r="O558" t="s">
        <v>16</v>
      </c>
    </row>
    <row r="559" spans="1:15" x14ac:dyDescent="0.45">
      <c r="B559">
        <v>7</v>
      </c>
      <c r="E559" s="1">
        <v>1536840616.2239699</v>
      </c>
      <c r="F559" s="1">
        <f t="shared" ref="F559" si="608">G559-E559-0.13</f>
        <v>-0.10722983360290528</v>
      </c>
      <c r="G559" s="1">
        <v>1536840616.2467401</v>
      </c>
      <c r="H559">
        <f>I559-G559</f>
        <v>0.18137979507446289</v>
      </c>
      <c r="I559" s="1">
        <v>1536840616.4281199</v>
      </c>
      <c r="K559">
        <f>I560-I559</f>
        <v>0.13587021827697754</v>
      </c>
      <c r="M559" s="1">
        <f t="shared" si="572"/>
        <v>7.4149961471557613E-2</v>
      </c>
      <c r="N559">
        <v>113</v>
      </c>
      <c r="O559" t="s">
        <v>17</v>
      </c>
    </row>
    <row r="560" spans="1:15" x14ac:dyDescent="0.45">
      <c r="B560">
        <v>8</v>
      </c>
      <c r="E560" s="1">
        <v>1536840616.5878501</v>
      </c>
      <c r="F560" s="1">
        <f t="shared" ref="F560" si="609">E560-G560+0.13</f>
        <v>0.21594012260437012</v>
      </c>
      <c r="G560" s="1">
        <v>1536840616.50191</v>
      </c>
      <c r="H560">
        <f>G560-I560</f>
        <v>-6.2080144882202148E-2</v>
      </c>
      <c r="I560" s="1">
        <v>1536840616.5639901</v>
      </c>
      <c r="M560" s="1">
        <f t="shared" si="572"/>
        <v>0.15385997772216797</v>
      </c>
      <c r="N560">
        <v>104</v>
      </c>
      <c r="O560" t="s">
        <v>17</v>
      </c>
    </row>
    <row r="561" spans="1:15" x14ac:dyDescent="0.45">
      <c r="B561" t="s">
        <v>3</v>
      </c>
      <c r="C561">
        <f>C554+C556+C558</f>
        <v>0.24369978904724121</v>
      </c>
      <c r="F561">
        <f t="shared" ref="F561" si="610">SUM(F553:F560)</f>
        <v>0.40583038330078125</v>
      </c>
      <c r="H561">
        <f>SUM(H553:H560)</f>
        <v>1.1664998531341553</v>
      </c>
      <c r="K561">
        <f>K553+K555+K557+K559</f>
        <v>0.28987002372741699</v>
      </c>
      <c r="M561" t="s">
        <v>18</v>
      </c>
      <c r="N561" t="s">
        <v>10</v>
      </c>
      <c r="O561" t="s">
        <v>11</v>
      </c>
    </row>
    <row r="562" spans="1:15" x14ac:dyDescent="0.45">
      <c r="A562">
        <v>63</v>
      </c>
      <c r="B562">
        <v>1</v>
      </c>
      <c r="E562" s="1">
        <v>1536840622.7176399</v>
      </c>
      <c r="F562" s="1">
        <f t="shared" ref="F562" si="611">G562-E562-0.13</f>
        <v>-0.10580981254577637</v>
      </c>
      <c r="G562" s="1">
        <v>1536840622.7418301</v>
      </c>
      <c r="H562">
        <f>I562-G562</f>
        <v>0.22956991195678711</v>
      </c>
      <c r="I562" s="1">
        <v>1536840622.9714</v>
      </c>
      <c r="K562">
        <f>I563-I562</f>
        <v>6.1299800872802734E-3</v>
      </c>
      <c r="M562" s="1">
        <f t="shared" ref="M562:M564" si="612">F562+H562</f>
        <v>0.12376009941101074</v>
      </c>
      <c r="N562" s="2">
        <v>169</v>
      </c>
      <c r="O562" s="2" t="s">
        <v>12</v>
      </c>
    </row>
    <row r="563" spans="1:15" x14ac:dyDescent="0.45">
      <c r="B563">
        <v>2</v>
      </c>
      <c r="C563">
        <f>E564-E563</f>
        <v>3.1320095062255859E-2</v>
      </c>
      <c r="E563" s="1">
        <v>1536840623.0369999</v>
      </c>
      <c r="F563" s="1">
        <f t="shared" ref="F563" si="613">E563-G563+0.13</f>
        <v>0.1899198341369629</v>
      </c>
      <c r="G563" s="1">
        <v>1536840622.9770801</v>
      </c>
      <c r="H563">
        <f>G563-I563</f>
        <v>-4.4989585876464844E-4</v>
      </c>
      <c r="I563" s="1">
        <v>1536840622.97753</v>
      </c>
      <c r="M563" s="1">
        <f t="shared" si="612"/>
        <v>0.18946993827819825</v>
      </c>
      <c r="N563" s="2">
        <v>122</v>
      </c>
      <c r="O563" s="2" t="s">
        <v>13</v>
      </c>
    </row>
    <row r="564" spans="1:15" x14ac:dyDescent="0.45">
      <c r="B564">
        <v>3</v>
      </c>
      <c r="E564" s="1">
        <v>1536840623.06832</v>
      </c>
      <c r="F564" s="1">
        <f t="shared" ref="F564" si="614">G564-E564-0.13</f>
        <v>-0.11058009147644043</v>
      </c>
      <c r="G564" s="1">
        <v>1536840623.0877399</v>
      </c>
      <c r="H564">
        <f>I564-G564</f>
        <v>0.22221994400024414</v>
      </c>
      <c r="I564" s="1">
        <v>1536840623.3099599</v>
      </c>
      <c r="K564">
        <f>I565-I564</f>
        <v>4.8690080642700195E-2</v>
      </c>
      <c r="M564" s="1">
        <f t="shared" si="612"/>
        <v>0.11163985252380371</v>
      </c>
      <c r="N564" s="2">
        <v>201</v>
      </c>
      <c r="O564" s="2" t="s">
        <v>12</v>
      </c>
    </row>
    <row r="565" spans="1:15" x14ac:dyDescent="0.45">
      <c r="B565">
        <v>4</v>
      </c>
      <c r="C565">
        <f>E566-E565</f>
        <v>0.15482997894287109</v>
      </c>
      <c r="E565" s="1">
        <v>1536840623.6517301</v>
      </c>
      <c r="F565" s="1">
        <f t="shared" ref="F565" si="615">E565-G565+0.13</f>
        <v>0.19596016883850098</v>
      </c>
      <c r="G565" s="1">
        <v>1536840623.5857699</v>
      </c>
      <c r="H565">
        <f>G565-I565</f>
        <v>0.22711992263793945</v>
      </c>
      <c r="I565" s="1">
        <v>1536840623.35865</v>
      </c>
      <c r="M565" s="1">
        <f t="shared" si="572"/>
        <v>0.42308009147644043</v>
      </c>
      <c r="N565" s="2">
        <v>616</v>
      </c>
      <c r="O565" s="2" t="s">
        <v>14</v>
      </c>
    </row>
    <row r="566" spans="1:15" x14ac:dyDescent="0.45">
      <c r="B566">
        <v>5</v>
      </c>
      <c r="E566" s="1">
        <v>1536840623.80656</v>
      </c>
      <c r="F566" s="1">
        <f t="shared" ref="F566" si="616">G566-E566-0.13</f>
        <v>-0.11138999938964844</v>
      </c>
      <c r="G566" s="1">
        <v>1536840623.82517</v>
      </c>
      <c r="H566">
        <f>I566-G566</f>
        <v>0.36125993728637695</v>
      </c>
      <c r="I566" s="1">
        <v>1536840624.18643</v>
      </c>
      <c r="K566">
        <f>I567-I566</f>
        <v>9.1480016708374023E-2</v>
      </c>
      <c r="M566" s="1">
        <f t="shared" si="572"/>
        <v>0.24986993789672851</v>
      </c>
      <c r="N566" s="2">
        <v>438</v>
      </c>
      <c r="O566" s="2" t="s">
        <v>15</v>
      </c>
    </row>
    <row r="567" spans="1:15" x14ac:dyDescent="0.45">
      <c r="B567">
        <v>6</v>
      </c>
      <c r="C567">
        <f>E568-E567</f>
        <v>5.0040006637573242E-2</v>
      </c>
      <c r="E567" s="1">
        <v>1536840624.2680399</v>
      </c>
      <c r="F567" s="1">
        <f t="shared" ref="F567" si="617">E567-G567+0.13</f>
        <v>0.13966000556945801</v>
      </c>
      <c r="G567" s="1">
        <v>1536840624.2583799</v>
      </c>
      <c r="H567">
        <f>G567-I567</f>
        <v>-1.9530057907104492E-2</v>
      </c>
      <c r="I567" s="1">
        <v>1536840624.27791</v>
      </c>
      <c r="M567" s="1">
        <f t="shared" si="572"/>
        <v>0.12012994766235352</v>
      </c>
      <c r="N567" s="2">
        <v>129</v>
      </c>
      <c r="O567" s="2" t="s">
        <v>16</v>
      </c>
    </row>
    <row r="568" spans="1:15" x14ac:dyDescent="0.45">
      <c r="B568">
        <v>7</v>
      </c>
      <c r="E568" s="1">
        <v>1536840624.3180799</v>
      </c>
      <c r="F568" s="1">
        <f t="shared" ref="F568" si="618">G568-E568-0.13</f>
        <v>-0.11168992996215821</v>
      </c>
      <c r="G568" s="1">
        <v>1536840624.33639</v>
      </c>
      <c r="H568">
        <f>I568-G568</f>
        <v>0.18939995765686035</v>
      </c>
      <c r="I568" s="1">
        <v>1536840624.52579</v>
      </c>
      <c r="K568">
        <f>I569-I568</f>
        <v>0.1769099235534668</v>
      </c>
      <c r="M568" s="1">
        <f t="shared" si="572"/>
        <v>7.7710027694702144E-2</v>
      </c>
      <c r="N568" s="2">
        <v>113</v>
      </c>
      <c r="O568" s="2" t="s">
        <v>17</v>
      </c>
    </row>
    <row r="569" spans="1:15" x14ac:dyDescent="0.45">
      <c r="B569">
        <v>8</v>
      </c>
      <c r="E569" s="1">
        <v>1536840624.67573</v>
      </c>
      <c r="F569" s="1">
        <f t="shared" ref="F569" si="619">E569-G569+0.13</f>
        <v>0.20797002792358399</v>
      </c>
      <c r="G569" s="1">
        <v>1536840624.59776</v>
      </c>
      <c r="H569">
        <f>G569-I569</f>
        <v>-0.10493993759155273</v>
      </c>
      <c r="I569" s="1">
        <v>1536840624.7026999</v>
      </c>
      <c r="M569" s="1">
        <f t="shared" si="572"/>
        <v>0.10303009033203125</v>
      </c>
      <c r="N569" s="2">
        <v>104</v>
      </c>
      <c r="O569" s="2" t="s">
        <v>17</v>
      </c>
    </row>
    <row r="570" spans="1:15" x14ac:dyDescent="0.45">
      <c r="B570" t="s">
        <v>3</v>
      </c>
      <c r="C570">
        <f>C563+C565+C567</f>
        <v>0.2361900806427002</v>
      </c>
      <c r="F570">
        <f t="shared" ref="F570" si="620">SUM(F562:F569)</f>
        <v>0.29404020309448242</v>
      </c>
      <c r="H570">
        <f>SUM(H562:H569)</f>
        <v>1.1046497821807861</v>
      </c>
      <c r="K570">
        <f>K562+K564+K566+K568</f>
        <v>0.32321000099182129</v>
      </c>
      <c r="M570" t="s">
        <v>18</v>
      </c>
      <c r="N570" s="2" t="s">
        <v>10</v>
      </c>
      <c r="O570" s="2" t="s">
        <v>11</v>
      </c>
    </row>
    <row r="571" spans="1:15" x14ac:dyDescent="0.45">
      <c r="A571">
        <v>64</v>
      </c>
      <c r="B571">
        <v>1</v>
      </c>
      <c r="E571" s="1">
        <v>1536840630.4220099</v>
      </c>
      <c r="F571" s="1">
        <f t="shared" ref="F571" si="621">G571-E571-0.13</f>
        <v>-0.10430992126464844</v>
      </c>
      <c r="G571" s="1">
        <v>1536840630.4477</v>
      </c>
      <c r="H571">
        <f>I571-G571</f>
        <v>0.21650004386901855</v>
      </c>
      <c r="I571" s="1">
        <v>1536840630.6642001</v>
      </c>
      <c r="K571">
        <f>I572-I571</f>
        <v>6.5798759460449219E-3</v>
      </c>
      <c r="M571" s="1">
        <f t="shared" ref="M571:M573" si="622">F571+H571</f>
        <v>0.11219012260437011</v>
      </c>
      <c r="N571">
        <v>169</v>
      </c>
      <c r="O571" t="s">
        <v>12</v>
      </c>
    </row>
    <row r="572" spans="1:15" x14ac:dyDescent="0.45">
      <c r="B572">
        <v>2</v>
      </c>
      <c r="C572">
        <f>E573-E572</f>
        <v>1.8639802932739258E-2</v>
      </c>
      <c r="E572" s="1">
        <v>1536840630.6617501</v>
      </c>
      <c r="F572" s="1">
        <f t="shared" ref="F572" si="623">E572-G572+0.13</f>
        <v>0.12418997764587403</v>
      </c>
      <c r="G572" s="1">
        <v>1536840630.6675601</v>
      </c>
      <c r="H572">
        <f>G572-I572</f>
        <v>-3.2198429107666016E-3</v>
      </c>
      <c r="I572" s="1">
        <v>1536840630.6707799</v>
      </c>
      <c r="M572" s="1">
        <f t="shared" si="622"/>
        <v>0.12097013473510743</v>
      </c>
      <c r="N572">
        <v>122</v>
      </c>
      <c r="O572" t="s">
        <v>13</v>
      </c>
    </row>
    <row r="573" spans="1:15" x14ac:dyDescent="0.45">
      <c r="B573">
        <v>3</v>
      </c>
      <c r="E573" s="1">
        <v>1536840630.6803899</v>
      </c>
      <c r="F573" s="1">
        <f t="shared" ref="F573" si="624">G573-E573-0.13</f>
        <v>-0.11802995681762696</v>
      </c>
      <c r="G573" s="1">
        <v>1536840630.6923599</v>
      </c>
      <c r="H573">
        <f>I573-G573</f>
        <v>0.24293017387390137</v>
      </c>
      <c r="I573" s="1">
        <v>1536840630.9352901</v>
      </c>
      <c r="K573">
        <f>I574-I573</f>
        <v>4.7259807586669922E-2</v>
      </c>
      <c r="M573" s="1">
        <f t="shared" si="622"/>
        <v>0.12490021705627441</v>
      </c>
      <c r="N573">
        <v>201</v>
      </c>
      <c r="O573" t="s">
        <v>12</v>
      </c>
    </row>
    <row r="574" spans="1:15" x14ac:dyDescent="0.45">
      <c r="B574">
        <v>4</v>
      </c>
      <c r="C574">
        <f>E575-E574</f>
        <v>0.16315007209777832</v>
      </c>
      <c r="E574" s="1">
        <v>1536840631.3333499</v>
      </c>
      <c r="F574" s="1">
        <f t="shared" ref="F574" si="625">E574-G574+0.13</f>
        <v>0.18847001075744629</v>
      </c>
      <c r="G574" s="1">
        <v>1536840631.2748799</v>
      </c>
      <c r="H574">
        <f>G574-I574</f>
        <v>0.29233002662658691</v>
      </c>
      <c r="I574" s="1">
        <v>1536840630.9825499</v>
      </c>
      <c r="M574" s="1">
        <f t="shared" si="572"/>
        <v>0.48080003738403321</v>
      </c>
      <c r="N574">
        <v>616</v>
      </c>
      <c r="O574" t="s">
        <v>14</v>
      </c>
    </row>
    <row r="575" spans="1:15" x14ac:dyDescent="0.45">
      <c r="B575">
        <v>5</v>
      </c>
      <c r="E575" s="1">
        <v>1536840631.4965</v>
      </c>
      <c r="F575" s="1">
        <f t="shared" ref="F575" si="626">G575-E575-0.13</f>
        <v>-0.11522996902465821</v>
      </c>
      <c r="G575" s="1">
        <v>1536840631.51127</v>
      </c>
      <c r="H575">
        <f>I575-G575</f>
        <v>0.36801004409790039</v>
      </c>
      <c r="I575" s="1">
        <v>1536840631.8792801</v>
      </c>
      <c r="K575">
        <f>I576-I575</f>
        <v>9.2299938201904297E-2</v>
      </c>
      <c r="M575" s="1">
        <f t="shared" si="572"/>
        <v>0.25278007507324218</v>
      </c>
      <c r="N575">
        <v>438</v>
      </c>
      <c r="O575" t="s">
        <v>15</v>
      </c>
    </row>
    <row r="576" spans="1:15" x14ac:dyDescent="0.45">
      <c r="B576">
        <v>6</v>
      </c>
      <c r="C576">
        <f>E577-E576</f>
        <v>6.090998649597168E-2</v>
      </c>
      <c r="E576" s="1">
        <v>1536840632.0488</v>
      </c>
      <c r="F576" s="1">
        <f t="shared" ref="F576" si="627">E576-G576+0.13</f>
        <v>0.22926009178161622</v>
      </c>
      <c r="G576" s="1">
        <v>1536840631.9495399</v>
      </c>
      <c r="H576">
        <f>G576-I576</f>
        <v>-2.2040128707885742E-2</v>
      </c>
      <c r="I576" s="1">
        <v>1536840631.97158</v>
      </c>
      <c r="M576" s="1">
        <f t="shared" si="572"/>
        <v>0.20721996307373047</v>
      </c>
      <c r="N576">
        <v>129</v>
      </c>
      <c r="O576" t="s">
        <v>16</v>
      </c>
    </row>
    <row r="577" spans="1:15" x14ac:dyDescent="0.45">
      <c r="B577">
        <v>7</v>
      </c>
      <c r="E577" s="1">
        <v>1536840632.10971</v>
      </c>
      <c r="F577" s="1">
        <f t="shared" ref="F577" si="628">G577-E577-0.13</f>
        <v>-0.11562002182006836</v>
      </c>
      <c r="G577" s="1">
        <v>1536840632.12409</v>
      </c>
      <c r="H577">
        <f>I577-G577</f>
        <v>0.16196012496948242</v>
      </c>
      <c r="I577" s="1">
        <v>1536840632.2860501</v>
      </c>
      <c r="K577">
        <f>I578-I577</f>
        <v>0.1350100040435791</v>
      </c>
      <c r="M577" s="1">
        <f t="shared" si="572"/>
        <v>4.6340103149414058E-2</v>
      </c>
      <c r="N577">
        <v>113</v>
      </c>
      <c r="O577" t="s">
        <v>17</v>
      </c>
    </row>
    <row r="578" spans="1:15" x14ac:dyDescent="0.45">
      <c r="B578">
        <v>8</v>
      </c>
      <c r="E578" s="1">
        <v>1536840632.4598899</v>
      </c>
      <c r="F578" s="1">
        <f t="shared" ref="F578" si="629">E578-G578+0.13</f>
        <v>0.2334998893737793</v>
      </c>
      <c r="G578" s="1">
        <v>1536840632.35639</v>
      </c>
      <c r="H578">
        <f>G578-I578</f>
        <v>-6.4670085906982422E-2</v>
      </c>
      <c r="I578" s="1">
        <v>1536840632.4210601</v>
      </c>
      <c r="M578" s="1">
        <f t="shared" si="572"/>
        <v>0.16882980346679688</v>
      </c>
      <c r="N578">
        <v>104</v>
      </c>
      <c r="O578" t="s">
        <v>17</v>
      </c>
    </row>
    <row r="579" spans="1:15" x14ac:dyDescent="0.45">
      <c r="B579" t="s">
        <v>3</v>
      </c>
      <c r="C579">
        <f>C572+C574+C576</f>
        <v>0.24269986152648926</v>
      </c>
      <c r="F579">
        <f t="shared" ref="F579" si="630">SUM(F571:F578)</f>
        <v>0.32223010063171387</v>
      </c>
      <c r="H579">
        <f>SUM(H571:H578)</f>
        <v>1.1918003559112549</v>
      </c>
      <c r="K579">
        <f>K571+K573+K575+K577</f>
        <v>0.28114962577819824</v>
      </c>
      <c r="M579" t="s">
        <v>18</v>
      </c>
      <c r="N579" t="s">
        <v>10</v>
      </c>
      <c r="O579" t="s">
        <v>11</v>
      </c>
    </row>
    <row r="580" spans="1:15" x14ac:dyDescent="0.45">
      <c r="A580">
        <v>65</v>
      </c>
      <c r="B580">
        <v>1</v>
      </c>
      <c r="E580" s="1">
        <v>1536840636.4068999</v>
      </c>
      <c r="F580" s="1">
        <f t="shared" ref="F580" si="631">G580-E580-0.13</f>
        <v>-0.11178982734680176</v>
      </c>
      <c r="G580" s="1">
        <v>1536840636.4251101</v>
      </c>
      <c r="H580">
        <f>I580-G580</f>
        <v>0.24492001533508301</v>
      </c>
      <c r="I580" s="1">
        <v>1536840636.6700301</v>
      </c>
      <c r="K580">
        <f>I581-I580</f>
        <v>6.7598819732666016E-3</v>
      </c>
      <c r="M580" s="1">
        <f t="shared" ref="M580:M582" si="632">F580+H580</f>
        <v>0.13313018798828125</v>
      </c>
      <c r="N580" s="2">
        <v>169</v>
      </c>
      <c r="O580" s="2" t="s">
        <v>12</v>
      </c>
    </row>
    <row r="581" spans="1:15" x14ac:dyDescent="0.45">
      <c r="B581">
        <v>2</v>
      </c>
      <c r="C581">
        <f>E582-E581</f>
        <v>1.6249895095825195E-2</v>
      </c>
      <c r="E581" s="1">
        <v>1536840636.6694601</v>
      </c>
      <c r="F581" s="1">
        <f t="shared" ref="F581" si="633">E581-G581+0.13</f>
        <v>0.12738001823425293</v>
      </c>
      <c r="G581" s="1">
        <v>1536840636.67208</v>
      </c>
      <c r="H581">
        <f>G581-I581</f>
        <v>-4.7099590301513672E-3</v>
      </c>
      <c r="I581" s="1">
        <v>1536840636.67679</v>
      </c>
      <c r="M581" s="1">
        <f t="shared" si="632"/>
        <v>0.12267005920410157</v>
      </c>
      <c r="N581" s="2">
        <v>122</v>
      </c>
      <c r="O581" s="2" t="s">
        <v>13</v>
      </c>
    </row>
    <row r="582" spans="1:15" x14ac:dyDescent="0.45">
      <c r="B582">
        <v>3</v>
      </c>
      <c r="E582" s="1">
        <v>1536840636.68571</v>
      </c>
      <c r="F582" s="1">
        <f t="shared" ref="F582" si="634">G582-E582-0.13</f>
        <v>-0.12105000495910645</v>
      </c>
      <c r="G582" s="1">
        <v>1536840636.6946599</v>
      </c>
      <c r="H582">
        <f>I582-G582</f>
        <v>0.2464599609375</v>
      </c>
      <c r="I582" s="1">
        <v>1536840636.9411199</v>
      </c>
      <c r="K582">
        <f>I583-I582</f>
        <v>4.6270132064819336E-2</v>
      </c>
      <c r="M582" s="1">
        <f t="shared" si="632"/>
        <v>0.12540995597839355</v>
      </c>
      <c r="N582" s="2">
        <v>201</v>
      </c>
      <c r="O582" s="2" t="s">
        <v>12</v>
      </c>
    </row>
    <row r="583" spans="1:15" x14ac:dyDescent="0.45">
      <c r="B583">
        <v>4</v>
      </c>
      <c r="C583">
        <f>E584-E583</f>
        <v>0.15706014633178711</v>
      </c>
      <c r="E583" s="1">
        <v>1536840637.2722199</v>
      </c>
      <c r="F583" s="1">
        <f t="shared" ref="F583" si="635">E583-G583+0.13</f>
        <v>0.18826997756958008</v>
      </c>
      <c r="G583" s="1">
        <v>1536840637.2139499</v>
      </c>
      <c r="H583">
        <f>G583-I583</f>
        <v>0.22655987739562988</v>
      </c>
      <c r="I583" s="1">
        <v>1536840636.98739</v>
      </c>
      <c r="M583" s="1">
        <f t="shared" si="572"/>
        <v>0.41482985496520997</v>
      </c>
      <c r="N583" s="2">
        <v>616</v>
      </c>
      <c r="O583" s="2" t="s">
        <v>14</v>
      </c>
    </row>
    <row r="584" spans="1:15" x14ac:dyDescent="0.45">
      <c r="B584">
        <v>5</v>
      </c>
      <c r="E584" s="1">
        <v>1536840637.42928</v>
      </c>
      <c r="F584" s="1">
        <f t="shared" ref="F584" si="636">G584-E584-0.13</f>
        <v>-0.11782992362976075</v>
      </c>
      <c r="G584" s="1">
        <v>1536840637.4414501</v>
      </c>
      <c r="H584">
        <f>I584-G584</f>
        <v>0.37683987617492676</v>
      </c>
      <c r="I584" s="1">
        <v>1536840637.81829</v>
      </c>
      <c r="K584">
        <f>I585-I584</f>
        <v>9.0790033340454102E-2</v>
      </c>
      <c r="M584" s="1">
        <f t="shared" si="572"/>
        <v>0.25900995254516601</v>
      </c>
      <c r="N584" s="2">
        <v>438</v>
      </c>
      <c r="O584" s="2" t="s">
        <v>15</v>
      </c>
    </row>
    <row r="585" spans="1:15" x14ac:dyDescent="0.45">
      <c r="B585">
        <v>6</v>
      </c>
      <c r="C585">
        <f>E586-E585</f>
        <v>4.1160106658935547E-2</v>
      </c>
      <c r="E585" s="1">
        <v>1536840637.9888799</v>
      </c>
      <c r="F585" s="1">
        <f t="shared" ref="F585" si="637">E585-G585+0.13</f>
        <v>0.23229992866516114</v>
      </c>
      <c r="G585" s="1">
        <v>1536840637.88658</v>
      </c>
      <c r="H585">
        <f>G585-I585</f>
        <v>-2.2500038146972656E-2</v>
      </c>
      <c r="I585" s="1">
        <v>1536840637.90908</v>
      </c>
      <c r="M585" s="1">
        <f t="shared" si="572"/>
        <v>0.20979989051818848</v>
      </c>
      <c r="N585" s="2">
        <v>129</v>
      </c>
      <c r="O585" s="2" t="s">
        <v>16</v>
      </c>
    </row>
    <row r="586" spans="1:15" x14ac:dyDescent="0.45">
      <c r="B586">
        <v>7</v>
      </c>
      <c r="E586" s="1">
        <v>1536840638.03004</v>
      </c>
      <c r="F586" s="1">
        <f t="shared" ref="F586" si="638">G586-E586-0.13</f>
        <v>-0.1182800579071045</v>
      </c>
      <c r="G586" s="1">
        <v>1536840638.04176</v>
      </c>
      <c r="H586">
        <f>I586-G586</f>
        <v>0.18267011642456055</v>
      </c>
      <c r="I586" s="1">
        <v>1536840638.2244301</v>
      </c>
      <c r="K586">
        <f>I587-I586</f>
        <v>0.13626980781555176</v>
      </c>
      <c r="M586" s="1">
        <f t="shared" si="572"/>
        <v>6.439005851745605E-2</v>
      </c>
      <c r="N586" s="2">
        <v>113</v>
      </c>
      <c r="O586" s="2" t="s">
        <v>17</v>
      </c>
    </row>
    <row r="587" spans="1:15" x14ac:dyDescent="0.45">
      <c r="B587">
        <v>8</v>
      </c>
      <c r="E587" s="1">
        <v>1536840638.3994801</v>
      </c>
      <c r="F587" s="1">
        <f t="shared" ref="F587" si="639">E587-G587+0.13</f>
        <v>0.23595011711120606</v>
      </c>
      <c r="G587" s="1">
        <v>1536840638.29353</v>
      </c>
      <c r="H587">
        <f>G587-I587</f>
        <v>-6.7169904708862305E-2</v>
      </c>
      <c r="I587" s="1">
        <v>1536840638.3606999</v>
      </c>
      <c r="M587" s="1">
        <f t="shared" si="572"/>
        <v>0.16878021240234375</v>
      </c>
      <c r="N587" s="2">
        <v>104</v>
      </c>
      <c r="O587" s="2" t="s">
        <v>17</v>
      </c>
    </row>
    <row r="588" spans="1:15" x14ac:dyDescent="0.45">
      <c r="B588" t="s">
        <v>3</v>
      </c>
      <c r="C588">
        <f>C581+C583+C585</f>
        <v>0.21447014808654785</v>
      </c>
      <c r="F588">
        <f t="shared" ref="F588" si="640">SUM(F580:F587)</f>
        <v>0.31495022773742676</v>
      </c>
      <c r="H588">
        <f>SUM(H580:H587)</f>
        <v>1.1830699443817139</v>
      </c>
      <c r="K588">
        <f>K580+K582+K584+K586</f>
        <v>0.2800898551940918</v>
      </c>
      <c r="M588" t="s">
        <v>18</v>
      </c>
      <c r="N588" s="2" t="s">
        <v>10</v>
      </c>
      <c r="O588" s="2" t="s">
        <v>11</v>
      </c>
    </row>
    <row r="589" spans="1:15" x14ac:dyDescent="0.45">
      <c r="A589">
        <v>66</v>
      </c>
      <c r="B589">
        <v>1</v>
      </c>
      <c r="E589" s="1">
        <v>1536840641.1248701</v>
      </c>
      <c r="F589" s="1">
        <f t="shared" ref="F589" si="641">G589-E589-0.13</f>
        <v>-0.11313999176025391</v>
      </c>
      <c r="G589" s="1">
        <v>1536840641.1417301</v>
      </c>
      <c r="H589">
        <f>I589-G589</f>
        <v>0.2520298957824707</v>
      </c>
      <c r="I589" s="1">
        <v>1536840641.39376</v>
      </c>
      <c r="K589">
        <f>I590-I589</f>
        <v>6.0999393463134766E-3</v>
      </c>
      <c r="M589" s="1">
        <f t="shared" ref="M589:M650" si="642">F589+H589</f>
        <v>0.13888990402221679</v>
      </c>
      <c r="N589">
        <v>169</v>
      </c>
      <c r="O589" t="s">
        <v>12</v>
      </c>
    </row>
    <row r="590" spans="1:15" x14ac:dyDescent="0.45">
      <c r="B590">
        <v>2</v>
      </c>
      <c r="C590">
        <f>E591-E590</f>
        <v>2.4230003356933594E-2</v>
      </c>
      <c r="E590" s="1">
        <v>1536840641.4699199</v>
      </c>
      <c r="F590" s="1">
        <f t="shared" ref="F590" si="643">E590-G590+0.13</f>
        <v>0.20519984245300293</v>
      </c>
      <c r="G590" s="1">
        <v>1536840641.3947201</v>
      </c>
      <c r="H590">
        <f>G590-I590</f>
        <v>-5.1398277282714844E-3</v>
      </c>
      <c r="I590" s="1">
        <v>1536840641.3998599</v>
      </c>
      <c r="M590" s="1">
        <f t="shared" si="642"/>
        <v>0.20006001472473145</v>
      </c>
      <c r="N590">
        <v>122</v>
      </c>
      <c r="O590" t="s">
        <v>13</v>
      </c>
    </row>
    <row r="591" spans="1:15" x14ac:dyDescent="0.45">
      <c r="B591">
        <v>3</v>
      </c>
      <c r="E591" s="1">
        <v>1536840641.4941499</v>
      </c>
      <c r="F591" s="1">
        <f t="shared" ref="F591" si="644">G591-E591-0.13</f>
        <v>-0.11966002464294434</v>
      </c>
      <c r="G591" s="1">
        <v>1536840641.5044899</v>
      </c>
      <c r="H591">
        <f>I591-G591</f>
        <v>0.22784018516540527</v>
      </c>
      <c r="I591" s="1">
        <v>1536840641.7323301</v>
      </c>
      <c r="K591">
        <f>I592-I591</f>
        <v>4.7359943389892578E-2</v>
      </c>
      <c r="M591" s="1">
        <f t="shared" si="642"/>
        <v>0.10818016052246093</v>
      </c>
      <c r="N591">
        <v>201</v>
      </c>
      <c r="O591" t="s">
        <v>12</v>
      </c>
    </row>
    <row r="592" spans="1:15" x14ac:dyDescent="0.45">
      <c r="B592">
        <v>4</v>
      </c>
      <c r="C592">
        <f>E593-E592</f>
        <v>0.16021013259887695</v>
      </c>
      <c r="E592" s="1">
        <v>1536840642.0877199</v>
      </c>
      <c r="F592" s="1">
        <f t="shared" ref="F592" si="645">E592-G592+0.13</f>
        <v>0.21362984657287598</v>
      </c>
      <c r="G592" s="1">
        <v>1536840642.0040901</v>
      </c>
      <c r="H592">
        <f>G592-I592</f>
        <v>0.22440004348754883</v>
      </c>
      <c r="I592" s="1">
        <v>1536840641.77969</v>
      </c>
      <c r="M592" s="1">
        <f t="shared" si="642"/>
        <v>0.43802989006042481</v>
      </c>
      <c r="N592">
        <v>616</v>
      </c>
      <c r="O592" t="s">
        <v>14</v>
      </c>
    </row>
    <row r="593" spans="1:15" x14ac:dyDescent="0.45">
      <c r="B593">
        <v>5</v>
      </c>
      <c r="E593" s="1">
        <v>1536840642.24793</v>
      </c>
      <c r="F593" s="1">
        <f t="shared" ref="F593" si="646">G593-E593-0.13</f>
        <v>-0.12047994613647461</v>
      </c>
      <c r="G593" s="1">
        <v>1536840642.2574501</v>
      </c>
      <c r="H593">
        <f>I593-G593</f>
        <v>0.35139989852905273</v>
      </c>
      <c r="I593" s="1">
        <v>1536840642.60885</v>
      </c>
      <c r="K593">
        <f>I594-I593</f>
        <v>9.7170114517211914E-2</v>
      </c>
      <c r="M593" s="1">
        <f t="shared" si="642"/>
        <v>0.23091995239257812</v>
      </c>
      <c r="N593">
        <v>438</v>
      </c>
      <c r="O593" t="s">
        <v>15</v>
      </c>
    </row>
    <row r="594" spans="1:15" x14ac:dyDescent="0.45">
      <c r="B594">
        <v>6</v>
      </c>
      <c r="C594">
        <f>E595-E594</f>
        <v>4.1680097579956055E-2</v>
      </c>
      <c r="E594" s="1">
        <v>1536840642.6985199</v>
      </c>
      <c r="F594" s="1">
        <f t="shared" ref="F594" si="647">E594-G594+0.13</f>
        <v>0.15182984352111817</v>
      </c>
      <c r="G594" s="1">
        <v>1536840642.6766901</v>
      </c>
      <c r="H594">
        <f>G594-I594</f>
        <v>-2.9330015182495117E-2</v>
      </c>
      <c r="I594" s="1">
        <v>1536840642.7060201</v>
      </c>
      <c r="M594" s="1">
        <f t="shared" si="642"/>
        <v>0.12249982833862305</v>
      </c>
      <c r="N594">
        <v>129</v>
      </c>
      <c r="O594" t="s">
        <v>16</v>
      </c>
    </row>
    <row r="595" spans="1:15" x14ac:dyDescent="0.45">
      <c r="B595">
        <v>7</v>
      </c>
      <c r="E595" s="1">
        <v>1536840642.7402</v>
      </c>
      <c r="F595" s="1">
        <f t="shared" ref="F595" si="648">G595-E595-0.13</f>
        <v>-0.1209200668334961</v>
      </c>
      <c r="G595" s="1">
        <v>1536840642.74928</v>
      </c>
      <c r="H595">
        <f>I595-G595</f>
        <v>0.19886994361877441</v>
      </c>
      <c r="I595" s="1">
        <v>1536840642.9481499</v>
      </c>
      <c r="K595">
        <f>I596-I595</f>
        <v>0.14336013793945313</v>
      </c>
      <c r="M595" s="1">
        <f t="shared" si="642"/>
        <v>7.7949876785278316E-2</v>
      </c>
      <c r="N595">
        <v>113</v>
      </c>
      <c r="O595" t="s">
        <v>17</v>
      </c>
    </row>
    <row r="596" spans="1:15" x14ac:dyDescent="0.45">
      <c r="B596">
        <v>8</v>
      </c>
      <c r="E596" s="1">
        <v>1536840643.10972</v>
      </c>
      <c r="F596" s="1">
        <f t="shared" ref="F596" si="649">E596-G596+0.13</f>
        <v>0.22353995323181153</v>
      </c>
      <c r="G596" s="1">
        <v>1536840643.01618</v>
      </c>
      <c r="H596">
        <f>G596-I596</f>
        <v>-7.5330018997192383E-2</v>
      </c>
      <c r="I596" s="1">
        <v>1536840643.0915101</v>
      </c>
      <c r="M596" s="1">
        <f t="shared" si="642"/>
        <v>0.14820993423461915</v>
      </c>
      <c r="N596">
        <v>104</v>
      </c>
      <c r="O596" t="s">
        <v>17</v>
      </c>
    </row>
    <row r="597" spans="1:15" x14ac:dyDescent="0.45">
      <c r="B597" t="s">
        <v>3</v>
      </c>
      <c r="C597">
        <f>C590+C592+C594</f>
        <v>0.2261202335357666</v>
      </c>
      <c r="F597">
        <f t="shared" ref="F597" si="650">SUM(F589:F596)</f>
        <v>0.31999945640563965</v>
      </c>
      <c r="H597">
        <f>SUM(H589:H596)</f>
        <v>1.144740104675293</v>
      </c>
      <c r="K597">
        <f>K589+K591+K593+K595</f>
        <v>0.29399013519287109</v>
      </c>
      <c r="M597" t="s">
        <v>18</v>
      </c>
      <c r="N597" t="s">
        <v>10</v>
      </c>
      <c r="O597" t="s">
        <v>11</v>
      </c>
    </row>
    <row r="598" spans="1:15" x14ac:dyDescent="0.45">
      <c r="A598">
        <v>67</v>
      </c>
      <c r="B598">
        <v>1</v>
      </c>
      <c r="E598" s="1">
        <v>1536840646.6066</v>
      </c>
      <c r="F598" s="1">
        <f t="shared" ref="F598" si="651">G598-E598-0.13</f>
        <v>-0.11782014846801758</v>
      </c>
      <c r="G598" s="1">
        <v>1536840646.6187799</v>
      </c>
      <c r="H598">
        <f>I598-G598</f>
        <v>0.24103999137878418</v>
      </c>
      <c r="I598" s="1">
        <v>1536840646.8598199</v>
      </c>
      <c r="K598">
        <f>I599-I598</f>
        <v>6.1202049255371094E-3</v>
      </c>
      <c r="M598" s="1">
        <f t="shared" ref="M598:M600" si="652">F598+H598</f>
        <v>0.1232198429107666</v>
      </c>
      <c r="N598" s="2">
        <v>169</v>
      </c>
      <c r="O598" s="2" t="s">
        <v>12</v>
      </c>
    </row>
    <row r="599" spans="1:15" x14ac:dyDescent="0.45">
      <c r="B599">
        <v>2</v>
      </c>
      <c r="C599">
        <f>E600-E599</f>
        <v>1.725006103515625E-2</v>
      </c>
      <c r="E599" s="1">
        <v>1536840646.8967099</v>
      </c>
      <c r="F599" s="1">
        <f t="shared" ref="F599" si="653">E599-G599+0.13</f>
        <v>0.16720998764038086</v>
      </c>
      <c r="G599" s="1">
        <v>1536840646.8594999</v>
      </c>
      <c r="H599">
        <f>G599-I599</f>
        <v>-6.4401626586914063E-3</v>
      </c>
      <c r="I599" s="1">
        <v>1536840646.8659401</v>
      </c>
      <c r="M599" s="1">
        <f t="shared" si="652"/>
        <v>0.16076982498168946</v>
      </c>
      <c r="N599" s="2">
        <v>122</v>
      </c>
      <c r="O599" s="2" t="s">
        <v>13</v>
      </c>
    </row>
    <row r="600" spans="1:15" x14ac:dyDescent="0.45">
      <c r="B600">
        <v>3</v>
      </c>
      <c r="E600" s="1">
        <v>1536840646.91396</v>
      </c>
      <c r="F600" s="1">
        <f t="shared" ref="F600" si="654">G600-E600-0.13</f>
        <v>-0.1188598918914795</v>
      </c>
      <c r="G600" s="1">
        <v>1536840646.9251001</v>
      </c>
      <c r="H600">
        <f>I600-G600</f>
        <v>0.27328991889953613</v>
      </c>
      <c r="I600" s="1">
        <v>1536840647.19839</v>
      </c>
      <c r="K600">
        <f>I601-I600</f>
        <v>5.2360057830810547E-2</v>
      </c>
      <c r="M600" s="1">
        <f t="shared" si="652"/>
        <v>0.15443002700805664</v>
      </c>
      <c r="N600" s="2">
        <v>201</v>
      </c>
      <c r="O600" s="2" t="s">
        <v>12</v>
      </c>
    </row>
    <row r="601" spans="1:15" x14ac:dyDescent="0.45">
      <c r="B601">
        <v>4</v>
      </c>
      <c r="C601">
        <f>E602-E601</f>
        <v>0.15488004684448242</v>
      </c>
      <c r="E601" s="1">
        <v>1536840647.5113399</v>
      </c>
      <c r="F601" s="1">
        <f t="shared" ref="F601" si="655">E601-G601+0.13</f>
        <v>0.17245996475219727</v>
      </c>
      <c r="G601" s="1">
        <v>1536840647.4688799</v>
      </c>
      <c r="H601">
        <f>G601-I601</f>
        <v>0.21812987327575684</v>
      </c>
      <c r="I601" s="1">
        <v>1536840647.2507501</v>
      </c>
      <c r="M601" s="1">
        <f t="shared" si="642"/>
        <v>0.39058983802795411</v>
      </c>
      <c r="N601" s="2">
        <v>616</v>
      </c>
      <c r="O601" s="2" t="s">
        <v>14</v>
      </c>
    </row>
    <row r="602" spans="1:15" x14ac:dyDescent="0.45">
      <c r="B602">
        <v>5</v>
      </c>
      <c r="E602" s="1">
        <v>1536840647.6662199</v>
      </c>
      <c r="F602" s="1">
        <f t="shared" ref="F602" si="656">G602-E602-0.13</f>
        <v>-0.12118995666503907</v>
      </c>
      <c r="G602" s="1">
        <v>1536840647.67503</v>
      </c>
      <c r="H602">
        <f>I602-G602</f>
        <v>0.39986991882324219</v>
      </c>
      <c r="I602" s="1">
        <v>1536840648.0748999</v>
      </c>
      <c r="K602">
        <f>I603-I602</f>
        <v>9.3430042266845703E-2</v>
      </c>
      <c r="M602" s="1">
        <f t="shared" si="642"/>
        <v>0.27867996215820312</v>
      </c>
      <c r="N602" s="2">
        <v>438</v>
      </c>
      <c r="O602" s="2" t="s">
        <v>15</v>
      </c>
    </row>
    <row r="603" spans="1:15" x14ac:dyDescent="0.45">
      <c r="B603">
        <v>6</v>
      </c>
      <c r="C603">
        <f>E604-E603</f>
        <v>4.1610002517700195E-2</v>
      </c>
      <c r="E603" s="1">
        <v>1536840648.2281301</v>
      </c>
      <c r="F603" s="1">
        <f t="shared" ref="F603" si="657">E603-G603+0.13</f>
        <v>0.21666014671325684</v>
      </c>
      <c r="G603" s="1">
        <v>1536840648.14147</v>
      </c>
      <c r="H603">
        <f>G603-I603</f>
        <v>-2.685999870300293E-2</v>
      </c>
      <c r="I603" s="1">
        <v>1536840648.16833</v>
      </c>
      <c r="M603" s="1">
        <f t="shared" si="642"/>
        <v>0.18980014801025391</v>
      </c>
      <c r="N603" s="2">
        <v>129</v>
      </c>
      <c r="O603" s="2" t="s">
        <v>16</v>
      </c>
    </row>
    <row r="604" spans="1:15" x14ac:dyDescent="0.45">
      <c r="B604">
        <v>7</v>
      </c>
      <c r="E604" s="1">
        <v>1536840648.2697401</v>
      </c>
      <c r="F604" s="1">
        <f t="shared" ref="F604" si="658">G604-E604-0.13</f>
        <v>-0.12339008331298829</v>
      </c>
      <c r="G604" s="1">
        <v>1536840648.27635</v>
      </c>
      <c r="H604">
        <f>I604-G604</f>
        <v>0.20535993576049805</v>
      </c>
      <c r="I604" s="1">
        <v>1536840648.48171</v>
      </c>
      <c r="K604">
        <f>I605-I604</f>
        <v>0.13537001609802246</v>
      </c>
      <c r="M604" s="1">
        <f t="shared" si="642"/>
        <v>8.1969852447509761E-2</v>
      </c>
      <c r="N604" s="2">
        <v>113</v>
      </c>
      <c r="O604" s="2" t="s">
        <v>17</v>
      </c>
    </row>
    <row r="605" spans="1:15" x14ac:dyDescent="0.45">
      <c r="B605">
        <v>8</v>
      </c>
      <c r="E605" s="1">
        <v>1536840648.6375</v>
      </c>
      <c r="F605" s="1">
        <f t="shared" ref="F605" si="659">E605-G605+0.13</f>
        <v>0.21907008171081543</v>
      </c>
      <c r="G605" s="1">
        <v>1536840648.54843</v>
      </c>
      <c r="H605">
        <f>G605-I605</f>
        <v>-6.8650007247924805E-2</v>
      </c>
      <c r="I605" s="1">
        <v>1536840648.61708</v>
      </c>
      <c r="M605" s="1">
        <f t="shared" si="642"/>
        <v>0.15042007446289063</v>
      </c>
      <c r="N605" s="2">
        <v>104</v>
      </c>
      <c r="O605" s="2" t="s">
        <v>17</v>
      </c>
    </row>
    <row r="606" spans="1:15" x14ac:dyDescent="0.45">
      <c r="B606" t="s">
        <v>3</v>
      </c>
      <c r="C606">
        <f>C599+C601+C603</f>
        <v>0.21374011039733887</v>
      </c>
      <c r="F606">
        <f t="shared" ref="F606" si="660">SUM(F598:F605)</f>
        <v>0.29414010047912598</v>
      </c>
      <c r="H606">
        <f>SUM(H598:H605)</f>
        <v>1.2357394695281982</v>
      </c>
      <c r="K606">
        <f>K598+K600+K602+K604</f>
        <v>0.28728032112121582</v>
      </c>
      <c r="M606" t="s">
        <v>18</v>
      </c>
      <c r="N606" s="2" t="s">
        <v>10</v>
      </c>
      <c r="O606" s="2" t="s">
        <v>11</v>
      </c>
    </row>
    <row r="607" spans="1:15" x14ac:dyDescent="0.45">
      <c r="A607">
        <v>68</v>
      </c>
      <c r="B607">
        <v>1</v>
      </c>
      <c r="E607" s="1">
        <v>1536840655.05691</v>
      </c>
      <c r="F607" s="1">
        <f t="shared" ref="F607" si="661">G607-E607-0.13</f>
        <v>-0.12199008941650391</v>
      </c>
      <c r="G607" s="1">
        <v>1536840655.0649199</v>
      </c>
      <c r="H607">
        <f>I607-G607</f>
        <v>0.23023009300231934</v>
      </c>
      <c r="I607" s="1">
        <v>1536840655.29515</v>
      </c>
      <c r="K607">
        <f>I608-I607</f>
        <v>6.9599151611328125E-3</v>
      </c>
      <c r="M607" s="1">
        <f t="shared" ref="M607:M609" si="662">F607+H607</f>
        <v>0.10824000358581543</v>
      </c>
      <c r="N607">
        <v>169</v>
      </c>
      <c r="O607" t="s">
        <v>12</v>
      </c>
    </row>
    <row r="608" spans="1:15" x14ac:dyDescent="0.45">
      <c r="B608">
        <v>2</v>
      </c>
      <c r="C608">
        <f>E609-E608</f>
        <v>2.9700040817260742E-2</v>
      </c>
      <c r="E608" s="1">
        <v>1536840655.39855</v>
      </c>
      <c r="F608" s="1">
        <f t="shared" ref="F608" si="663">E608-G608+0.13</f>
        <v>0.23574007034301758</v>
      </c>
      <c r="G608" s="1">
        <v>1536840655.29281</v>
      </c>
      <c r="H608">
        <f>G608-I608</f>
        <v>-9.2999935150146484E-3</v>
      </c>
      <c r="I608" s="1">
        <v>1536840655.30211</v>
      </c>
      <c r="M608" s="1">
        <f t="shared" si="662"/>
        <v>0.22644007682800293</v>
      </c>
      <c r="N608">
        <v>122</v>
      </c>
      <c r="O608" t="s">
        <v>13</v>
      </c>
    </row>
    <row r="609" spans="1:15" x14ac:dyDescent="0.45">
      <c r="B609">
        <v>3</v>
      </c>
      <c r="E609" s="1">
        <v>1536840655.4282501</v>
      </c>
      <c r="F609" s="1">
        <f t="shared" ref="F609" si="664">G609-E609-0.13</f>
        <v>-0.12691009521484375</v>
      </c>
      <c r="G609" s="1">
        <v>1536840655.43134</v>
      </c>
      <c r="H609">
        <f>I609-G609</f>
        <v>0.26988005638122559</v>
      </c>
      <c r="I609" s="1">
        <v>1536840655.70122</v>
      </c>
      <c r="K609">
        <f>I610-I609</f>
        <v>4.8810005187988281E-2</v>
      </c>
      <c r="M609" s="1">
        <f t="shared" si="662"/>
        <v>0.14296996116638183</v>
      </c>
      <c r="N609">
        <v>201</v>
      </c>
      <c r="O609" t="s">
        <v>12</v>
      </c>
    </row>
    <row r="610" spans="1:15" x14ac:dyDescent="0.45">
      <c r="B610">
        <v>4</v>
      </c>
      <c r="C610">
        <f>E611-E610</f>
        <v>0.15612006187438965</v>
      </c>
      <c r="E610" s="1">
        <v>1536840656.1149199</v>
      </c>
      <c r="F610" s="1">
        <f t="shared" ref="F610" si="665">E610-G610+0.13</f>
        <v>0.27527988433837891</v>
      </c>
      <c r="G610" s="1">
        <v>1536840655.96964</v>
      </c>
      <c r="H610">
        <f>G610-I610</f>
        <v>0.21960997581481934</v>
      </c>
      <c r="I610" s="1">
        <v>1536840655.75003</v>
      </c>
      <c r="M610" s="1">
        <f t="shared" si="642"/>
        <v>0.49488986015319825</v>
      </c>
      <c r="N610">
        <v>616</v>
      </c>
      <c r="O610" t="s">
        <v>14</v>
      </c>
    </row>
    <row r="611" spans="1:15" x14ac:dyDescent="0.45">
      <c r="B611">
        <v>5</v>
      </c>
      <c r="E611" s="1">
        <v>1536840656.27104</v>
      </c>
      <c r="F611" s="1">
        <f t="shared" ref="F611" si="666">G611-E611-0.13</f>
        <v>-0.12733996391296387</v>
      </c>
      <c r="G611" s="1">
        <v>1536840656.2737</v>
      </c>
      <c r="H611">
        <f>I611-G611</f>
        <v>0.37152004241943359</v>
      </c>
      <c r="I611" s="1">
        <v>1536840656.64522</v>
      </c>
      <c r="K611">
        <f>I612-I611</f>
        <v>9.0869903564453125E-2</v>
      </c>
      <c r="M611" s="1">
        <f t="shared" si="642"/>
        <v>0.24418007850646972</v>
      </c>
      <c r="N611">
        <v>438</v>
      </c>
      <c r="O611" t="s">
        <v>15</v>
      </c>
    </row>
    <row r="612" spans="1:15" x14ac:dyDescent="0.45">
      <c r="B612">
        <v>6</v>
      </c>
      <c r="C612">
        <f>E613-E612</f>
        <v>3.422999382019043E-2</v>
      </c>
      <c r="E612" s="1">
        <v>1536840656.8294699</v>
      </c>
      <c r="F612" s="1">
        <f t="shared" ref="F612" si="667">E612-G612+0.13</f>
        <v>0.24976003646850586</v>
      </c>
      <c r="G612" s="1">
        <v>1536840656.7097099</v>
      </c>
      <c r="H612">
        <f>G612-I612</f>
        <v>-2.6380062103271484E-2</v>
      </c>
      <c r="I612" s="1">
        <v>1536840656.7360899</v>
      </c>
      <c r="M612" s="1">
        <f t="shared" si="642"/>
        <v>0.22337997436523438</v>
      </c>
      <c r="N612">
        <v>129</v>
      </c>
      <c r="O612" t="s">
        <v>16</v>
      </c>
    </row>
    <row r="613" spans="1:15" x14ac:dyDescent="0.45">
      <c r="B613">
        <v>7</v>
      </c>
      <c r="E613" s="1">
        <v>1536840656.8636999</v>
      </c>
      <c r="F613" s="1">
        <f t="shared" ref="F613" si="668">G613-E613-0.13</f>
        <v>-0.12774003028869629</v>
      </c>
      <c r="G613" s="1">
        <v>1536840656.8659599</v>
      </c>
      <c r="H613">
        <f>I613-G613</f>
        <v>0.18610000610351563</v>
      </c>
      <c r="I613" s="1">
        <v>1536840657.0520599</v>
      </c>
      <c r="K613">
        <f>I614-I613</f>
        <v>0.17811012268066406</v>
      </c>
      <c r="M613" s="1">
        <f t="shared" si="642"/>
        <v>5.8359975814819331E-2</v>
      </c>
      <c r="N613">
        <v>113</v>
      </c>
      <c r="O613" t="s">
        <v>17</v>
      </c>
    </row>
    <row r="614" spans="1:15" x14ac:dyDescent="0.45">
      <c r="B614">
        <v>8</v>
      </c>
      <c r="E614" s="1">
        <v>1536840657.1365299</v>
      </c>
      <c r="F614" s="1">
        <f t="shared" ref="F614" si="669">E614-G614+0.13</f>
        <v>0.14997995376586915</v>
      </c>
      <c r="G614" s="1">
        <v>1536840657.11655</v>
      </c>
      <c r="H614">
        <f>G614-I614</f>
        <v>-0.11362004280090332</v>
      </c>
      <c r="I614" s="1">
        <v>1536840657.23017</v>
      </c>
      <c r="M614" s="1">
        <f t="shared" si="642"/>
        <v>3.6359910964965825E-2</v>
      </c>
      <c r="N614">
        <v>104</v>
      </c>
      <c r="O614" t="s">
        <v>17</v>
      </c>
    </row>
    <row r="615" spans="1:15" x14ac:dyDescent="0.45">
      <c r="B615" t="s">
        <v>3</v>
      </c>
      <c r="C615">
        <f>C608+C610+C612</f>
        <v>0.22005009651184082</v>
      </c>
      <c r="F615">
        <f t="shared" ref="F615" si="670">SUM(F607:F614)</f>
        <v>0.40677976608276367</v>
      </c>
      <c r="H615">
        <f>SUM(H607:H614)</f>
        <v>1.128040075302124</v>
      </c>
      <c r="K615">
        <f>K607+K609+K611+K613</f>
        <v>0.32474994659423828</v>
      </c>
      <c r="M615" t="s">
        <v>18</v>
      </c>
      <c r="N615" t="s">
        <v>10</v>
      </c>
      <c r="O615" t="s">
        <v>11</v>
      </c>
    </row>
    <row r="616" spans="1:15" x14ac:dyDescent="0.45">
      <c r="A616">
        <v>69</v>
      </c>
      <c r="B616">
        <v>1</v>
      </c>
      <c r="E616" s="1">
        <v>1536840660.40347</v>
      </c>
      <c r="F616" s="1">
        <f t="shared" ref="F616" si="671">G616-E616-0.13</f>
        <v>-0.12507999420166016</v>
      </c>
      <c r="G616" s="1">
        <v>1536840660.40839</v>
      </c>
      <c r="H616">
        <f>I616-G616</f>
        <v>0.21795988082885742</v>
      </c>
      <c r="I616" s="1">
        <v>1536840660.6263499</v>
      </c>
      <c r="K616">
        <f>I617-I616</f>
        <v>6.2601566314697266E-3</v>
      </c>
      <c r="M616" s="1">
        <f t="shared" ref="M616:M618" si="672">F616+H616</f>
        <v>9.2879886627197261E-2</v>
      </c>
      <c r="N616" s="2">
        <v>169</v>
      </c>
      <c r="O616" s="2" t="s">
        <v>12</v>
      </c>
    </row>
    <row r="617" spans="1:15" x14ac:dyDescent="0.45">
      <c r="B617">
        <v>2</v>
      </c>
      <c r="C617">
        <f>E618-E617</f>
        <v>1.8700122833251953E-2</v>
      </c>
      <c r="E617" s="1">
        <v>1536840660.7212</v>
      </c>
      <c r="F617" s="1">
        <f t="shared" ref="F617" si="673">E617-G617+0.13</f>
        <v>0.22787988662719727</v>
      </c>
      <c r="G617" s="1">
        <v>1536840660.6233201</v>
      </c>
      <c r="H617">
        <f>G617-I617</f>
        <v>-9.2899799346923828E-3</v>
      </c>
      <c r="I617" s="1">
        <v>1536840660.6326101</v>
      </c>
      <c r="M617" s="1">
        <f t="shared" si="672"/>
        <v>0.21858990669250489</v>
      </c>
      <c r="N617" s="2">
        <v>122</v>
      </c>
      <c r="O617" s="2" t="s">
        <v>13</v>
      </c>
    </row>
    <row r="618" spans="1:15" x14ac:dyDescent="0.45">
      <c r="B618">
        <v>3</v>
      </c>
      <c r="E618" s="1">
        <v>1536840660.7399001</v>
      </c>
      <c r="F618" s="1">
        <f t="shared" ref="F618" si="674">G618-E618-0.13</f>
        <v>-0.12966001510620118</v>
      </c>
      <c r="G618" s="1">
        <v>1536840660.7402401</v>
      </c>
      <c r="H618">
        <f>I618-G618</f>
        <v>0.2246699333190918</v>
      </c>
      <c r="I618" s="1">
        <v>1536840660.96491</v>
      </c>
      <c r="K618">
        <f>I619-I618</f>
        <v>4.7039985656738281E-2</v>
      </c>
      <c r="M618" s="1">
        <f t="shared" si="672"/>
        <v>9.5009918212890621E-2</v>
      </c>
      <c r="N618" s="2">
        <v>201</v>
      </c>
      <c r="O618" s="2" t="s">
        <v>12</v>
      </c>
    </row>
    <row r="619" spans="1:15" x14ac:dyDescent="0.45">
      <c r="B619">
        <v>4</v>
      </c>
      <c r="C619">
        <f>E620-E619</f>
        <v>0.16338992118835449</v>
      </c>
      <c r="E619" s="1">
        <v>1536840661.33637</v>
      </c>
      <c r="F619" s="1">
        <f t="shared" ref="F619" si="675">E619-G619+0.13</f>
        <v>0.2343698787689209</v>
      </c>
      <c r="G619" s="1">
        <v>1536840661.2320001</v>
      </c>
      <c r="H619">
        <f>G619-I619</f>
        <v>0.22005009651184082</v>
      </c>
      <c r="I619" s="1">
        <v>1536840661.01195</v>
      </c>
      <c r="M619" s="1">
        <f t="shared" si="642"/>
        <v>0.45441997528076172</v>
      </c>
      <c r="N619" s="2">
        <v>616</v>
      </c>
      <c r="O619" s="2" t="s">
        <v>14</v>
      </c>
    </row>
    <row r="620" spans="1:15" x14ac:dyDescent="0.45">
      <c r="B620">
        <v>5</v>
      </c>
      <c r="E620" s="1">
        <v>1536840661.4997599</v>
      </c>
      <c r="F620" s="1">
        <f t="shared" ref="F620" si="676">G620-E620-0.13</f>
        <v>-0.13036001205444336</v>
      </c>
      <c r="G620" s="1">
        <v>1536840661.4993999</v>
      </c>
      <c r="H620">
        <f>I620-G620</f>
        <v>0.40954017639160156</v>
      </c>
      <c r="I620" s="1">
        <v>1536840661.9089401</v>
      </c>
      <c r="K620">
        <f>I621-I620</f>
        <v>9.2489957809448242E-2</v>
      </c>
      <c r="M620" s="1">
        <f t="shared" si="642"/>
        <v>0.2791801643371582</v>
      </c>
      <c r="N620" s="2">
        <v>438</v>
      </c>
      <c r="O620" s="2" t="s">
        <v>15</v>
      </c>
    </row>
    <row r="621" spans="1:15" x14ac:dyDescent="0.45">
      <c r="B621">
        <v>6</v>
      </c>
      <c r="C621">
        <f>E622-E621</f>
        <v>4.085993766784668E-2</v>
      </c>
      <c r="E621" s="1">
        <v>1536840661.98352</v>
      </c>
      <c r="F621" s="1">
        <f t="shared" ref="F621" si="677">E621-G621+0.13</f>
        <v>0.14142001152038575</v>
      </c>
      <c r="G621" s="1">
        <v>1536840661.9721</v>
      </c>
      <c r="H621">
        <f>G621-I621</f>
        <v>-2.9330015182495117E-2</v>
      </c>
      <c r="I621" s="1">
        <v>1536840662.00143</v>
      </c>
      <c r="M621" s="1">
        <f t="shared" si="642"/>
        <v>0.11208999633789063</v>
      </c>
      <c r="N621" s="2">
        <v>129</v>
      </c>
      <c r="O621" s="2" t="s">
        <v>16</v>
      </c>
    </row>
    <row r="622" spans="1:15" x14ac:dyDescent="0.45">
      <c r="B622">
        <v>7</v>
      </c>
      <c r="E622" s="1">
        <v>1536840662.02438</v>
      </c>
      <c r="F622" s="1">
        <f t="shared" ref="F622" si="678">G622-E622-0.13</f>
        <v>-0.13067996978759766</v>
      </c>
      <c r="G622" s="1">
        <v>1536840662.0237</v>
      </c>
      <c r="H622">
        <f>I622-G622</f>
        <v>0.15705990791320801</v>
      </c>
      <c r="I622" s="1">
        <v>1536840662.1807599</v>
      </c>
      <c r="K622">
        <f>I623-I622</f>
        <v>0.1356201171875</v>
      </c>
      <c r="M622" s="1">
        <f t="shared" si="642"/>
        <v>2.6379938125610347E-2</v>
      </c>
      <c r="N622" s="2">
        <v>113</v>
      </c>
      <c r="O622" s="2" t="s">
        <v>17</v>
      </c>
    </row>
    <row r="623" spans="1:15" x14ac:dyDescent="0.45">
      <c r="B623">
        <v>8</v>
      </c>
      <c r="E623" s="1">
        <v>1536840662.3598299</v>
      </c>
      <c r="F623" s="1">
        <f t="shared" ref="F623" si="679">E623-G623+0.13</f>
        <v>0.24571979522705079</v>
      </c>
      <c r="G623" s="1">
        <v>1536840662.2441101</v>
      </c>
      <c r="H623">
        <f>G623-I623</f>
        <v>-7.2269916534423828E-2</v>
      </c>
      <c r="I623" s="1">
        <v>1536840662.31638</v>
      </c>
      <c r="M623" s="1">
        <f t="shared" si="642"/>
        <v>0.17344987869262696</v>
      </c>
      <c r="N623" s="2">
        <v>104</v>
      </c>
      <c r="O623" s="2" t="s">
        <v>17</v>
      </c>
    </row>
    <row r="624" spans="1:15" x14ac:dyDescent="0.45">
      <c r="B624" t="s">
        <v>3</v>
      </c>
      <c r="C624">
        <f>C617+C619+C621</f>
        <v>0.22294998168945313</v>
      </c>
      <c r="F624">
        <f t="shared" ref="F624" si="680">SUM(F616:F623)</f>
        <v>0.33360958099365234</v>
      </c>
      <c r="H624">
        <f>SUM(H616:H623)</f>
        <v>1.1183900833129883</v>
      </c>
      <c r="K624">
        <f>K616+K618+K620+K622</f>
        <v>0.28141021728515625</v>
      </c>
      <c r="M624" t="s">
        <v>18</v>
      </c>
      <c r="N624" s="2" t="s">
        <v>10</v>
      </c>
      <c r="O624" s="2" t="s">
        <v>11</v>
      </c>
    </row>
    <row r="625" spans="1:15" x14ac:dyDescent="0.45">
      <c r="A625">
        <v>70</v>
      </c>
      <c r="B625">
        <v>1</v>
      </c>
      <c r="E625" s="1">
        <v>1536840665.3129201</v>
      </c>
      <c r="F625" s="1">
        <f t="shared" ref="F625" si="681">G625-E625-0.13</f>
        <v>-0.12639010429382325</v>
      </c>
      <c r="G625" s="1">
        <v>1536840665.31653</v>
      </c>
      <c r="H625">
        <f>I625-G625</f>
        <v>0.2360999584197998</v>
      </c>
      <c r="I625" s="1">
        <v>1536840665.5526299</v>
      </c>
      <c r="K625">
        <f>I626-I625</f>
        <v>6.4401626586914063E-3</v>
      </c>
      <c r="M625" s="1">
        <f t="shared" ref="M625:M627" si="682">F625+H625</f>
        <v>0.10970985412597656</v>
      </c>
      <c r="N625">
        <v>169</v>
      </c>
      <c r="O625" t="s">
        <v>12</v>
      </c>
    </row>
    <row r="626" spans="1:15" x14ac:dyDescent="0.45">
      <c r="B626">
        <v>2</v>
      </c>
      <c r="C626">
        <f>E627-E626</f>
        <v>1.307988166809082E-2</v>
      </c>
      <c r="E626" s="1">
        <v>1536840665.5622201</v>
      </c>
      <c r="F626" s="1">
        <f t="shared" ref="F626" si="683">E626-G626+0.13</f>
        <v>0.14450014114379883</v>
      </c>
      <c r="G626" s="1">
        <v>1536840665.54772</v>
      </c>
      <c r="H626">
        <f>G626-I626</f>
        <v>-1.1350154876708984E-2</v>
      </c>
      <c r="I626" s="1">
        <v>1536840665.5590701</v>
      </c>
      <c r="M626" s="1">
        <f t="shared" si="682"/>
        <v>0.13314998626708985</v>
      </c>
      <c r="N626">
        <v>122</v>
      </c>
      <c r="O626" t="s">
        <v>13</v>
      </c>
    </row>
    <row r="627" spans="1:15" x14ac:dyDescent="0.45">
      <c r="B627">
        <v>3</v>
      </c>
      <c r="E627" s="1">
        <v>1536840665.5753</v>
      </c>
      <c r="F627" s="1">
        <f t="shared" ref="F627" si="684">G627-E627-0.13</f>
        <v>-0.13286006927490235</v>
      </c>
      <c r="G627" s="1">
        <v>1536840665.5724399</v>
      </c>
      <c r="H627">
        <f>I627-G627</f>
        <v>0.25129008293151855</v>
      </c>
      <c r="I627" s="1">
        <v>1536840665.82373</v>
      </c>
      <c r="K627">
        <f>I628-I627</f>
        <v>4.7820091247558594E-2</v>
      </c>
      <c r="M627" s="1">
        <f t="shared" si="682"/>
        <v>0.11843001365661621</v>
      </c>
      <c r="N627">
        <v>201</v>
      </c>
      <c r="O627" t="s">
        <v>12</v>
      </c>
    </row>
    <row r="628" spans="1:15" x14ac:dyDescent="0.45">
      <c r="B628">
        <v>4</v>
      </c>
      <c r="C628">
        <f>E629-E628</f>
        <v>0.16223001480102539</v>
      </c>
      <c r="E628" s="1">
        <v>1536840666.1716599</v>
      </c>
      <c r="F628" s="1">
        <f t="shared" ref="F628" si="685">E628-G628+0.13</f>
        <v>0.14664996147155762</v>
      </c>
      <c r="G628" s="1">
        <v>1536840666.15501</v>
      </c>
      <c r="H628">
        <f>G628-I628</f>
        <v>0.28345990180969238</v>
      </c>
      <c r="I628" s="1">
        <v>1536840665.8715501</v>
      </c>
      <c r="M628" s="1">
        <f t="shared" si="642"/>
        <v>0.43010986328125</v>
      </c>
      <c r="N628">
        <v>616</v>
      </c>
      <c r="O628" t="s">
        <v>14</v>
      </c>
    </row>
    <row r="629" spans="1:15" x14ac:dyDescent="0.45">
      <c r="B629">
        <v>5</v>
      </c>
      <c r="E629" s="1">
        <v>1536840666.33389</v>
      </c>
      <c r="F629" s="1">
        <f t="shared" ref="F629" si="686">G629-E629-0.13</f>
        <v>-0.13120997428894043</v>
      </c>
      <c r="G629" s="1">
        <v>1536840666.33268</v>
      </c>
      <c r="H629">
        <f>I629-G629</f>
        <v>0.3675999641418457</v>
      </c>
      <c r="I629" s="1">
        <v>1536840666.70028</v>
      </c>
      <c r="K629">
        <f>I630-I629</f>
        <v>9.1340065002441406E-2</v>
      </c>
      <c r="M629" s="1">
        <f t="shared" si="642"/>
        <v>0.23638998985290527</v>
      </c>
      <c r="N629">
        <v>438</v>
      </c>
      <c r="O629" t="s">
        <v>15</v>
      </c>
    </row>
    <row r="630" spans="1:15" x14ac:dyDescent="0.45">
      <c r="B630">
        <v>6</v>
      </c>
      <c r="C630">
        <f>E631-E630</f>
        <v>4.6129941940307617E-2</v>
      </c>
      <c r="E630" s="1">
        <v>1536840666.8654101</v>
      </c>
      <c r="F630" s="1">
        <f t="shared" ref="F630" si="687">E630-G630+0.13</f>
        <v>0.23320019721984864</v>
      </c>
      <c r="G630" s="1">
        <v>1536840666.7622099</v>
      </c>
      <c r="H630">
        <f>G630-I630</f>
        <v>-2.9410123825073242E-2</v>
      </c>
      <c r="I630" s="1">
        <v>1536840666.79162</v>
      </c>
      <c r="M630" s="1">
        <f t="shared" si="642"/>
        <v>0.2037900733947754</v>
      </c>
      <c r="N630">
        <v>129</v>
      </c>
      <c r="O630" t="s">
        <v>16</v>
      </c>
    </row>
    <row r="631" spans="1:15" x14ac:dyDescent="0.45">
      <c r="B631">
        <v>7</v>
      </c>
      <c r="E631" s="1">
        <v>1536840666.91154</v>
      </c>
      <c r="F631" s="1">
        <f t="shared" ref="F631" si="688">G631-E631-0.13</f>
        <v>-0.13281000137329102</v>
      </c>
      <c r="G631" s="1">
        <v>1536840666.90873</v>
      </c>
      <c r="H631">
        <f>I631-G631</f>
        <v>0.19832992553710938</v>
      </c>
      <c r="I631" s="1">
        <v>1536840667.10706</v>
      </c>
      <c r="K631">
        <f>I632-I631</f>
        <v>0.13581013679504395</v>
      </c>
      <c r="M631" s="1">
        <f t="shared" si="642"/>
        <v>6.5519924163818355E-2</v>
      </c>
      <c r="N631">
        <v>113</v>
      </c>
      <c r="O631" t="s">
        <v>17</v>
      </c>
    </row>
    <row r="632" spans="1:15" x14ac:dyDescent="0.45">
      <c r="B632">
        <v>8</v>
      </c>
      <c r="E632" s="1">
        <v>1536840667.2748201</v>
      </c>
      <c r="F632" s="1">
        <f t="shared" ref="F632" si="689">E632-G632+0.13</f>
        <v>0.23565018653869629</v>
      </c>
      <c r="G632" s="1">
        <v>1536840667.1691699</v>
      </c>
      <c r="H632">
        <f>G632-I632</f>
        <v>-7.3700189590454102E-2</v>
      </c>
      <c r="I632" s="1">
        <v>1536840667.2428701</v>
      </c>
      <c r="M632" s="1">
        <f t="shared" si="642"/>
        <v>0.16194999694824219</v>
      </c>
      <c r="N632">
        <v>104</v>
      </c>
      <c r="O632" t="s">
        <v>17</v>
      </c>
    </row>
    <row r="633" spans="1:15" x14ac:dyDescent="0.45">
      <c r="B633" t="s">
        <v>3</v>
      </c>
      <c r="C633">
        <f>C626+C628+C630</f>
        <v>0.22143983840942383</v>
      </c>
      <c r="F633">
        <f t="shared" ref="F633" si="690">SUM(F625:F632)</f>
        <v>0.23673033714294434</v>
      </c>
      <c r="H633">
        <f>SUM(H625:H632)</f>
        <v>1.2223193645477295</v>
      </c>
      <c r="K633">
        <f>K625+K627+K629+K631</f>
        <v>0.28141045570373535</v>
      </c>
      <c r="M633" t="s">
        <v>18</v>
      </c>
      <c r="N633" t="s">
        <v>10</v>
      </c>
      <c r="O633" t="s">
        <v>11</v>
      </c>
    </row>
    <row r="634" spans="1:15" x14ac:dyDescent="0.45">
      <c r="A634">
        <v>71</v>
      </c>
      <c r="B634">
        <v>1</v>
      </c>
      <c r="E634" s="1">
        <v>1536840669.4456699</v>
      </c>
      <c r="F634" s="1">
        <f t="shared" ref="F634" si="691">G634-E634-0.13</f>
        <v>-0.12844980239868165</v>
      </c>
      <c r="G634" s="1">
        <v>1536840669.4472201</v>
      </c>
      <c r="H634">
        <f>I634-G634</f>
        <v>0.22193002700805664</v>
      </c>
      <c r="I634" s="1">
        <v>1536840669.6691501</v>
      </c>
      <c r="K634">
        <f>I635-I634</f>
        <v>6.0298442840576172E-3</v>
      </c>
      <c r="M634" s="1">
        <f t="shared" ref="M634:M636" si="692">F634+H634</f>
        <v>9.3480224609374996E-2</v>
      </c>
      <c r="N634" s="2">
        <v>169</v>
      </c>
      <c r="O634" s="2" t="s">
        <v>12</v>
      </c>
    </row>
    <row r="635" spans="1:15" x14ac:dyDescent="0.45">
      <c r="B635">
        <v>2</v>
      </c>
      <c r="C635">
        <f>E636-E635</f>
        <v>1.8980026245117188E-2</v>
      </c>
      <c r="E635" s="1">
        <v>1536840669.7341599</v>
      </c>
      <c r="F635" s="1">
        <f t="shared" ref="F635" si="693">E635-G635+0.13</f>
        <v>0.20101988792419434</v>
      </c>
      <c r="G635" s="1">
        <v>1536840669.6631401</v>
      </c>
      <c r="H635">
        <f>G635-I635</f>
        <v>-1.2039899826049805E-2</v>
      </c>
      <c r="I635" s="1">
        <v>1536840669.67518</v>
      </c>
      <c r="M635" s="1">
        <f t="shared" si="692"/>
        <v>0.18897998809814454</v>
      </c>
      <c r="N635" s="2">
        <v>122</v>
      </c>
      <c r="O635" s="2" t="s">
        <v>13</v>
      </c>
    </row>
    <row r="636" spans="1:15" x14ac:dyDescent="0.45">
      <c r="B636">
        <v>3</v>
      </c>
      <c r="E636" s="1">
        <v>1536840669.75314</v>
      </c>
      <c r="F636" s="1">
        <f t="shared" ref="F636" si="694">G636-E636-0.13</f>
        <v>-0.13413990020751954</v>
      </c>
      <c r="G636" s="1">
        <v>1536840669.7490001</v>
      </c>
      <c r="H636">
        <f>I636-G636</f>
        <v>0.25871992111206055</v>
      </c>
      <c r="I636" s="1">
        <v>1536840670.00772</v>
      </c>
      <c r="K636">
        <f>I637-I636</f>
        <v>4.6570062637329102E-2</v>
      </c>
      <c r="M636" s="1">
        <f t="shared" si="692"/>
        <v>0.12458002090454101</v>
      </c>
      <c r="N636" s="2">
        <v>201</v>
      </c>
      <c r="O636" s="2" t="s">
        <v>12</v>
      </c>
    </row>
    <row r="637" spans="1:15" x14ac:dyDescent="0.45">
      <c r="B637">
        <v>4</v>
      </c>
      <c r="C637">
        <f>E638-E637</f>
        <v>0.15340995788574219</v>
      </c>
      <c r="E637" s="1">
        <v>1536840670.3469901</v>
      </c>
      <c r="F637" s="1">
        <f t="shared" ref="F637" si="695">E637-G637+0.13</f>
        <v>0.20447004318237305</v>
      </c>
      <c r="G637" s="1">
        <v>1536840670.2725201</v>
      </c>
      <c r="H637">
        <f>G637-I637</f>
        <v>0.21823000907897949</v>
      </c>
      <c r="I637" s="1">
        <v>1536840670.0542901</v>
      </c>
      <c r="M637" s="1">
        <f t="shared" si="642"/>
        <v>0.42270005226135254</v>
      </c>
      <c r="N637" s="2">
        <v>616</v>
      </c>
      <c r="O637" s="2" t="s">
        <v>14</v>
      </c>
    </row>
    <row r="638" spans="1:15" x14ac:dyDescent="0.45">
      <c r="B638">
        <v>5</v>
      </c>
      <c r="E638" s="1">
        <v>1536840670.5004001</v>
      </c>
      <c r="F638" s="1">
        <f t="shared" ref="F638" si="696">G638-E638-0.13</f>
        <v>-0.13488996505737305</v>
      </c>
      <c r="G638" s="1">
        <v>1536840670.4955101</v>
      </c>
      <c r="H638">
        <f>I638-G638</f>
        <v>0.3894498348236084</v>
      </c>
      <c r="I638" s="1">
        <v>1536840670.8849599</v>
      </c>
      <c r="K638">
        <f>I639-I638</f>
        <v>8.6019992828369141E-2</v>
      </c>
      <c r="M638" s="1">
        <f t="shared" si="642"/>
        <v>0.25455986976623535</v>
      </c>
      <c r="N638" s="2">
        <v>438</v>
      </c>
      <c r="O638" s="2" t="s">
        <v>15</v>
      </c>
    </row>
    <row r="639" spans="1:15" x14ac:dyDescent="0.45">
      <c r="B639">
        <v>6</v>
      </c>
      <c r="C639">
        <f>E640-E639</f>
        <v>3.255009651184082E-2</v>
      </c>
      <c r="E639" s="1">
        <v>1536840671.0634699</v>
      </c>
      <c r="F639" s="1">
        <f t="shared" ref="F639" si="697">E639-G639+0.13</f>
        <v>0.24833977699279786</v>
      </c>
      <c r="G639" s="1">
        <v>1536840670.9451301</v>
      </c>
      <c r="H639">
        <f>G639-I639</f>
        <v>-2.5849819183349609E-2</v>
      </c>
      <c r="I639" s="1">
        <v>1536840670.9709799</v>
      </c>
      <c r="M639" s="1">
        <f t="shared" si="642"/>
        <v>0.22248995780944825</v>
      </c>
      <c r="N639" s="2">
        <v>129</v>
      </c>
      <c r="O639" s="2" t="s">
        <v>16</v>
      </c>
    </row>
    <row r="640" spans="1:15" x14ac:dyDescent="0.45">
      <c r="B640">
        <v>7</v>
      </c>
      <c r="E640" s="1">
        <v>1536840671.09602</v>
      </c>
      <c r="F640" s="1">
        <f t="shared" ref="F640" si="698">G640-E640-0.13</f>
        <v>-0.13477004051208497</v>
      </c>
      <c r="G640" s="1">
        <v>1536840671.0912499</v>
      </c>
      <c r="H640">
        <f>I640-G640</f>
        <v>0.19982004165649414</v>
      </c>
      <c r="I640" s="1">
        <v>1536840671.29107</v>
      </c>
      <c r="K640">
        <f>I641-I640</f>
        <v>0.14270997047424316</v>
      </c>
      <c r="M640" s="1">
        <f t="shared" si="642"/>
        <v>6.5050001144409175E-2</v>
      </c>
      <c r="N640" s="2">
        <v>113</v>
      </c>
      <c r="O640" s="2" t="s">
        <v>17</v>
      </c>
    </row>
    <row r="641" spans="1:15" x14ac:dyDescent="0.45">
      <c r="B641">
        <v>8</v>
      </c>
      <c r="E641" s="1">
        <v>1536840671.47316</v>
      </c>
      <c r="F641" s="1">
        <f t="shared" ref="F641" si="699">E641-G641+0.13</f>
        <v>0.25107014656066895</v>
      </c>
      <c r="G641" s="1">
        <v>1536840671.3520899</v>
      </c>
      <c r="H641">
        <f>G641-I641</f>
        <v>-8.1690073013305664E-2</v>
      </c>
      <c r="I641" s="1">
        <v>1536840671.43378</v>
      </c>
      <c r="M641" s="1">
        <f t="shared" si="642"/>
        <v>0.16938007354736329</v>
      </c>
      <c r="N641" s="2">
        <v>104</v>
      </c>
      <c r="O641" s="2" t="s">
        <v>17</v>
      </c>
    </row>
    <row r="642" spans="1:15" x14ac:dyDescent="0.45">
      <c r="B642" t="s">
        <v>3</v>
      </c>
      <c r="C642">
        <f>C635+C637+C639</f>
        <v>0.2049400806427002</v>
      </c>
      <c r="F642">
        <f t="shared" ref="F642" si="700">SUM(F634:F641)</f>
        <v>0.372650146484375</v>
      </c>
      <c r="H642">
        <f>SUM(H634:H641)</f>
        <v>1.1685700416564941</v>
      </c>
      <c r="K642">
        <f>K634+K636+K638+K640</f>
        <v>0.28132987022399902</v>
      </c>
      <c r="M642" t="s">
        <v>18</v>
      </c>
      <c r="N642" s="2" t="s">
        <v>10</v>
      </c>
      <c r="O642" s="2" t="s">
        <v>11</v>
      </c>
    </row>
    <row r="643" spans="1:15" x14ac:dyDescent="0.45">
      <c r="A643">
        <v>72</v>
      </c>
      <c r="B643">
        <v>1</v>
      </c>
      <c r="E643" s="1">
        <v>1536840675.67735</v>
      </c>
      <c r="F643" s="1">
        <f t="shared" ref="F643" si="701">G643-E643-0.13</f>
        <v>-0.1315101432800293</v>
      </c>
      <c r="G643" s="1">
        <v>1536840675.6758399</v>
      </c>
      <c r="H643">
        <f>I643-G643</f>
        <v>0.26934003829956055</v>
      </c>
      <c r="I643" s="1">
        <v>1536840675.9451799</v>
      </c>
      <c r="K643">
        <f>I644-I643</f>
        <v>6.2799453735351563E-3</v>
      </c>
      <c r="M643" s="1">
        <f t="shared" ref="M643:M645" si="702">F643+H643</f>
        <v>0.13782989501953125</v>
      </c>
      <c r="N643">
        <v>169</v>
      </c>
      <c r="O643" t="s">
        <v>12</v>
      </c>
    </row>
    <row r="644" spans="1:15" x14ac:dyDescent="0.45">
      <c r="B644">
        <v>2</v>
      </c>
      <c r="C644">
        <f>E645-E644</f>
        <v>2.1780014038085938E-2</v>
      </c>
      <c r="E644" s="1">
        <v>1536840675.9798999</v>
      </c>
      <c r="F644" s="1">
        <f t="shared" ref="F644" si="703">E644-G644+0.13</f>
        <v>0.17234981536865235</v>
      </c>
      <c r="G644" s="1">
        <v>1536840675.9375501</v>
      </c>
      <c r="H644">
        <f>G644-I644</f>
        <v>-1.3909816741943359E-2</v>
      </c>
      <c r="I644" s="1">
        <v>1536840675.9514599</v>
      </c>
      <c r="M644" s="1">
        <f t="shared" si="702"/>
        <v>0.15843999862670899</v>
      </c>
      <c r="N644">
        <v>122</v>
      </c>
      <c r="O644" t="s">
        <v>13</v>
      </c>
    </row>
    <row r="645" spans="1:15" x14ac:dyDescent="0.45">
      <c r="B645">
        <v>3</v>
      </c>
      <c r="E645" s="1">
        <v>1536840676.0016799</v>
      </c>
      <c r="F645" s="1">
        <f t="shared" ref="F645" si="704">G645-E645-0.13</f>
        <v>-0.13723981857299805</v>
      </c>
      <c r="G645" s="1">
        <v>1536840675.9944401</v>
      </c>
      <c r="H645">
        <f>I645-G645</f>
        <v>0.22183990478515625</v>
      </c>
      <c r="I645" s="1">
        <v>1536840676.21628</v>
      </c>
      <c r="K645">
        <f>I646-I645</f>
        <v>4.7529935836791992E-2</v>
      </c>
      <c r="M645" s="1">
        <f t="shared" si="702"/>
        <v>8.4600086212158199E-2</v>
      </c>
      <c r="N645">
        <v>201</v>
      </c>
      <c r="O645" t="s">
        <v>12</v>
      </c>
    </row>
    <row r="646" spans="1:15" x14ac:dyDescent="0.45">
      <c r="B646">
        <v>4</v>
      </c>
      <c r="C646">
        <f>E647-E646</f>
        <v>0.14987993240356445</v>
      </c>
      <c r="E646" s="1">
        <v>1536840676.59319</v>
      </c>
      <c r="F646" s="1">
        <f t="shared" ref="F646" si="705">E646-G646+0.13</f>
        <v>0.24375999450683594</v>
      </c>
      <c r="G646" s="1">
        <v>1536840676.47943</v>
      </c>
      <c r="H646">
        <f>G646-I646</f>
        <v>0.21562004089355469</v>
      </c>
      <c r="I646" s="1">
        <v>1536840676.2638099</v>
      </c>
      <c r="M646" s="1">
        <f t="shared" si="642"/>
        <v>0.45938003540039063</v>
      </c>
      <c r="N646">
        <v>616</v>
      </c>
      <c r="O646" t="s">
        <v>14</v>
      </c>
    </row>
    <row r="647" spans="1:15" x14ac:dyDescent="0.45">
      <c r="B647">
        <v>5</v>
      </c>
      <c r="E647" s="1">
        <v>1536840676.7430699</v>
      </c>
      <c r="F647" s="1">
        <f t="shared" ref="F647" si="706">G647-E647-0.13</f>
        <v>-0.13783991813659668</v>
      </c>
      <c r="G647" s="1">
        <v>1536840676.73523</v>
      </c>
      <c r="H647">
        <f>I647-G647</f>
        <v>0.3575899600982666</v>
      </c>
      <c r="I647" s="1">
        <v>1536840677.0928199</v>
      </c>
      <c r="K647">
        <f>I648-I647</f>
        <v>9.0490102767944336E-2</v>
      </c>
      <c r="M647" s="1">
        <f t="shared" si="642"/>
        <v>0.21975004196166992</v>
      </c>
      <c r="N647">
        <v>438</v>
      </c>
      <c r="O647" t="s">
        <v>15</v>
      </c>
    </row>
    <row r="648" spans="1:15" x14ac:dyDescent="0.45">
      <c r="B648">
        <v>6</v>
      </c>
      <c r="C648">
        <f>E649-E648</f>
        <v>4.1970014572143555E-2</v>
      </c>
      <c r="E648" s="1">
        <v>1536840677.20823</v>
      </c>
      <c r="F648" s="1">
        <f t="shared" ref="F648" si="707">E648-G648+0.13</f>
        <v>0.18618000030517579</v>
      </c>
      <c r="G648" s="1">
        <v>1536840677.15205</v>
      </c>
      <c r="H648">
        <f>G648-I648</f>
        <v>-3.1260013580322266E-2</v>
      </c>
      <c r="I648" s="1">
        <v>1536840677.18331</v>
      </c>
      <c r="M648" s="1">
        <f t="shared" si="642"/>
        <v>0.15491998672485352</v>
      </c>
      <c r="N648">
        <v>129</v>
      </c>
      <c r="O648" t="s">
        <v>16</v>
      </c>
    </row>
    <row r="649" spans="1:15" x14ac:dyDescent="0.45">
      <c r="B649">
        <v>7</v>
      </c>
      <c r="E649" s="1">
        <v>1536840677.2502</v>
      </c>
      <c r="F649" s="1">
        <f t="shared" ref="F649" si="708">G649-E649-0.13</f>
        <v>-0.13727009773254395</v>
      </c>
      <c r="G649" s="1">
        <v>1536840677.2429299</v>
      </c>
      <c r="H649">
        <f>I649-G649</f>
        <v>0.18921995162963867</v>
      </c>
      <c r="I649" s="1">
        <v>1536840677.4321499</v>
      </c>
      <c r="K649">
        <f>I650-I649</f>
        <v>0.13795018196105957</v>
      </c>
      <c r="M649" s="1">
        <f t="shared" si="642"/>
        <v>5.1949853897094722E-2</v>
      </c>
      <c r="N649">
        <v>113</v>
      </c>
      <c r="O649" t="s">
        <v>17</v>
      </c>
    </row>
    <row r="650" spans="1:15" x14ac:dyDescent="0.45">
      <c r="B650">
        <v>8</v>
      </c>
      <c r="E650" s="1">
        <v>1536840677.61923</v>
      </c>
      <c r="F650" s="1">
        <f t="shared" ref="F650" si="709">E650-G650+0.13</f>
        <v>0.2577000904083252</v>
      </c>
      <c r="G650" s="1">
        <v>1536840677.4915299</v>
      </c>
      <c r="H650">
        <f>G650-I650</f>
        <v>-7.8570127487182617E-2</v>
      </c>
      <c r="I650" s="1">
        <v>1536840677.5701001</v>
      </c>
      <c r="M650" s="1">
        <f t="shared" si="642"/>
        <v>0.17912996292114258</v>
      </c>
      <c r="N650">
        <v>104</v>
      </c>
      <c r="O650" t="s">
        <v>17</v>
      </c>
    </row>
    <row r="651" spans="1:15" x14ac:dyDescent="0.45">
      <c r="B651" t="s">
        <v>3</v>
      </c>
      <c r="C651">
        <f>C644+C646+C648</f>
        <v>0.21362996101379395</v>
      </c>
      <c r="F651">
        <f t="shared" ref="F651" si="710">SUM(F643:F650)</f>
        <v>0.31612992286682129</v>
      </c>
      <c r="H651">
        <f>SUM(H643:H650)</f>
        <v>1.1298699378967285</v>
      </c>
      <c r="K651">
        <f>K643+K645+K647+K649</f>
        <v>0.28225016593933105</v>
      </c>
      <c r="M651" t="s">
        <v>18</v>
      </c>
      <c r="N651" t="s">
        <v>10</v>
      </c>
      <c r="O651" t="s">
        <v>11</v>
      </c>
    </row>
    <row r="652" spans="1:15" x14ac:dyDescent="0.45">
      <c r="A652">
        <v>73</v>
      </c>
      <c r="B652">
        <v>1</v>
      </c>
      <c r="E652" s="1">
        <v>1536840681.1556201</v>
      </c>
      <c r="F652" s="1">
        <f t="shared" ref="F652" si="711">G652-E652-0.13</f>
        <v>-0.13516009330749512</v>
      </c>
      <c r="G652" s="1">
        <v>1536840681.15046</v>
      </c>
      <c r="H652">
        <f>I652-G652</f>
        <v>0.26097989082336426</v>
      </c>
      <c r="I652" s="1">
        <v>1536840681.4114399</v>
      </c>
      <c r="K652">
        <f>I653-I652</f>
        <v>6.3099861145019531E-3</v>
      </c>
      <c r="M652" s="1">
        <f t="shared" ref="M652:M713" si="712">F652+H652</f>
        <v>0.12581979751586914</v>
      </c>
      <c r="N652" s="2">
        <v>169</v>
      </c>
      <c r="O652" s="2" t="s">
        <v>12</v>
      </c>
    </row>
    <row r="653" spans="1:15" x14ac:dyDescent="0.45">
      <c r="B653">
        <v>2</v>
      </c>
      <c r="C653">
        <f>E654-E653</f>
        <v>2.6259899139404297E-2</v>
      </c>
      <c r="E653" s="1">
        <v>1536840681.5106101</v>
      </c>
      <c r="F653" s="1">
        <f t="shared" ref="F653" si="713">E653-G653+0.13</f>
        <v>0.23830020904541016</v>
      </c>
      <c r="G653" s="1">
        <v>1536840681.4023099</v>
      </c>
      <c r="H653">
        <f>G653-I653</f>
        <v>-1.5439987182617188E-2</v>
      </c>
      <c r="I653" s="1">
        <v>1536840681.4177499</v>
      </c>
      <c r="M653" s="1">
        <f t="shared" si="712"/>
        <v>0.22286022186279297</v>
      </c>
      <c r="N653" s="2">
        <v>122</v>
      </c>
      <c r="O653" s="2" t="s">
        <v>13</v>
      </c>
    </row>
    <row r="654" spans="1:15" x14ac:dyDescent="0.45">
      <c r="B654">
        <v>3</v>
      </c>
      <c r="E654" s="1">
        <v>1536840681.53687</v>
      </c>
      <c r="F654" s="1">
        <f t="shared" ref="F654" si="714">G654-E654-0.13</f>
        <v>-0.14016998291015625</v>
      </c>
      <c r="G654" s="1">
        <v>1536840681.5267</v>
      </c>
      <c r="H654">
        <f>I654-G654</f>
        <v>0.22332000732421875</v>
      </c>
      <c r="I654" s="1">
        <v>1536840681.75002</v>
      </c>
      <c r="K654">
        <f>I655-I654</f>
        <v>4.6599864959716797E-2</v>
      </c>
      <c r="M654" s="1">
        <f t="shared" si="712"/>
        <v>8.3150024414062496E-2</v>
      </c>
      <c r="N654" s="2">
        <v>201</v>
      </c>
      <c r="O654" s="2" t="s">
        <v>12</v>
      </c>
    </row>
    <row r="655" spans="1:15" x14ac:dyDescent="0.45">
      <c r="B655">
        <v>4</v>
      </c>
      <c r="C655">
        <f>E656-E655</f>
        <v>0.16299009323120117</v>
      </c>
      <c r="E655" s="1">
        <v>1536840682.12497</v>
      </c>
      <c r="F655" s="1">
        <f t="shared" ref="F655" si="715">E655-G655+0.13</f>
        <v>0.24329984664916993</v>
      </c>
      <c r="G655" s="1">
        <v>1536840682.0116701</v>
      </c>
      <c r="H655">
        <f>G655-I655</f>
        <v>0.21505022048950195</v>
      </c>
      <c r="I655" s="1">
        <v>1536840681.7966199</v>
      </c>
      <c r="M655" s="1">
        <f t="shared" si="712"/>
        <v>0.45835006713867188</v>
      </c>
      <c r="N655" s="2">
        <v>616</v>
      </c>
      <c r="O655" s="2" t="s">
        <v>14</v>
      </c>
    </row>
    <row r="656" spans="1:15" x14ac:dyDescent="0.45">
      <c r="B656">
        <v>5</v>
      </c>
      <c r="E656" s="1">
        <v>1536840682.2879601</v>
      </c>
      <c r="F656" s="1">
        <f t="shared" ref="F656" si="716">G656-E656-0.13</f>
        <v>-0.14034998893737793</v>
      </c>
      <c r="G656" s="1">
        <v>1536840682.2776101</v>
      </c>
      <c r="H656">
        <f>I656-G656</f>
        <v>0.41647982597351074</v>
      </c>
      <c r="I656" s="1">
        <v>1536840682.6940899</v>
      </c>
      <c r="K656">
        <f>I657-I656</f>
        <v>9.1460227966308594E-2</v>
      </c>
      <c r="M656" s="1">
        <f t="shared" si="712"/>
        <v>0.27612983703613281</v>
      </c>
      <c r="N656" s="2">
        <v>438</v>
      </c>
      <c r="O656" s="2" t="s">
        <v>15</v>
      </c>
    </row>
    <row r="657" spans="1:15" x14ac:dyDescent="0.45">
      <c r="B657">
        <v>6</v>
      </c>
      <c r="C657">
        <f>E658-E657</f>
        <v>5.0599813461303711E-2</v>
      </c>
      <c r="E657" s="1">
        <v>1536840682.8410201</v>
      </c>
      <c r="F657" s="1">
        <f t="shared" ref="F657" si="717">E657-G657+0.13</f>
        <v>0.21924007415771485</v>
      </c>
      <c r="G657" s="1">
        <v>1536840682.75178</v>
      </c>
      <c r="H657">
        <f>G657-I657</f>
        <v>-3.3770084381103516E-2</v>
      </c>
      <c r="I657" s="1">
        <v>1536840682.7855501</v>
      </c>
      <c r="M657" s="1">
        <f t="shared" si="712"/>
        <v>0.18546998977661133</v>
      </c>
      <c r="N657" s="2">
        <v>129</v>
      </c>
      <c r="O657" s="2" t="s">
        <v>16</v>
      </c>
    </row>
    <row r="658" spans="1:15" x14ac:dyDescent="0.45">
      <c r="B658">
        <v>7</v>
      </c>
      <c r="E658" s="1">
        <v>1536840682.8916199</v>
      </c>
      <c r="F658" s="1">
        <f t="shared" ref="F658" si="718">G658-E658-0.13</f>
        <v>-0.14083993911743165</v>
      </c>
      <c r="G658" s="1">
        <v>1536840682.88078</v>
      </c>
      <c r="H658">
        <f>I658-G658</f>
        <v>0.15261006355285645</v>
      </c>
      <c r="I658" s="1">
        <v>1536840683.03339</v>
      </c>
      <c r="K658">
        <f>I659-I658</f>
        <v>0.13625001907348633</v>
      </c>
      <c r="M658" s="1">
        <f t="shared" si="712"/>
        <v>1.17701244354248E-2</v>
      </c>
      <c r="N658" s="2">
        <v>113</v>
      </c>
      <c r="O658" s="2" t="s">
        <v>17</v>
      </c>
    </row>
    <row r="659" spans="1:15" x14ac:dyDescent="0.45">
      <c r="B659">
        <v>8</v>
      </c>
      <c r="E659" s="1">
        <v>1536840683.1486399</v>
      </c>
      <c r="F659" s="1">
        <f t="shared" ref="F659" si="719">E659-G659+0.13</f>
        <v>0.18738997459411622</v>
      </c>
      <c r="G659" s="1">
        <v>1536840683.0912499</v>
      </c>
      <c r="H659">
        <f>G659-I659</f>
        <v>-7.8390121459960938E-2</v>
      </c>
      <c r="I659" s="1">
        <v>1536840683.1696401</v>
      </c>
      <c r="M659" s="1">
        <f t="shared" si="712"/>
        <v>0.10899985313415528</v>
      </c>
      <c r="N659" s="2">
        <v>104</v>
      </c>
      <c r="O659" s="2" t="s">
        <v>17</v>
      </c>
    </row>
    <row r="660" spans="1:15" x14ac:dyDescent="0.45">
      <c r="B660" t="s">
        <v>3</v>
      </c>
      <c r="C660">
        <f>C653+C655+C657</f>
        <v>0.23984980583190918</v>
      </c>
      <c r="F660">
        <f t="shared" ref="F660" si="720">SUM(F652:F659)</f>
        <v>0.3317101001739502</v>
      </c>
      <c r="H660">
        <f>SUM(H652:H659)</f>
        <v>1.1408398151397705</v>
      </c>
      <c r="K660">
        <f>K652+K654+K656+K658</f>
        <v>0.28062009811401367</v>
      </c>
      <c r="M660" t="s">
        <v>18</v>
      </c>
      <c r="N660" s="2" t="s">
        <v>10</v>
      </c>
      <c r="O660" s="2" t="s">
        <v>11</v>
      </c>
    </row>
    <row r="661" spans="1:15" x14ac:dyDescent="0.45">
      <c r="A661">
        <v>74</v>
      </c>
      <c r="B661">
        <v>1</v>
      </c>
      <c r="E661" s="1">
        <v>1536840687.0992501</v>
      </c>
      <c r="F661" s="1">
        <f t="shared" ref="F661" si="721">G661-E661-0.13</f>
        <v>-0.13554013252258301</v>
      </c>
      <c r="G661" s="1">
        <v>1536840687.0937099</v>
      </c>
      <c r="H661">
        <f>I661-G661</f>
        <v>0.25641012191772461</v>
      </c>
      <c r="I661" s="1">
        <v>1536840687.3501201</v>
      </c>
      <c r="K661">
        <f>I662-I661</f>
        <v>7.4598789215087891E-3</v>
      </c>
      <c r="M661" s="1">
        <f t="shared" ref="M661:M663" si="722">F661+H661</f>
        <v>0.1208699893951416</v>
      </c>
      <c r="N661">
        <v>169</v>
      </c>
      <c r="O661" t="s">
        <v>12</v>
      </c>
    </row>
    <row r="662" spans="1:15" x14ac:dyDescent="0.45">
      <c r="B662">
        <v>2</v>
      </c>
      <c r="C662">
        <f>E663-E662</f>
        <v>1.6610145568847656E-2</v>
      </c>
      <c r="E662" s="1">
        <v>1536840687.4477899</v>
      </c>
      <c r="F662" s="1">
        <f t="shared" ref="F662" si="723">E662-G662+0.13</f>
        <v>0.23842990875244141</v>
      </c>
      <c r="G662" s="1">
        <v>1536840687.33936</v>
      </c>
      <c r="H662">
        <f>G662-I662</f>
        <v>-1.8219947814941406E-2</v>
      </c>
      <c r="I662" s="1">
        <v>1536840687.3575799</v>
      </c>
      <c r="M662" s="1">
        <f t="shared" si="722"/>
        <v>0.2202099609375</v>
      </c>
      <c r="N662">
        <v>122</v>
      </c>
      <c r="O662" t="s">
        <v>13</v>
      </c>
    </row>
    <row r="663" spans="1:15" x14ac:dyDescent="0.45">
      <c r="B663">
        <v>3</v>
      </c>
      <c r="E663" s="1">
        <v>1536840687.4644001</v>
      </c>
      <c r="F663" s="1">
        <f t="shared" ref="F663" si="724">G663-E663-0.13</f>
        <v>-0.14208996772766114</v>
      </c>
      <c r="G663" s="1">
        <v>1536840687.4523101</v>
      </c>
      <c r="H663">
        <f>I663-G663</f>
        <v>0.2363898754119873</v>
      </c>
      <c r="I663" s="1">
        <v>1536840687.6887</v>
      </c>
      <c r="K663">
        <f>I664-I663</f>
        <v>4.7610044479370117E-2</v>
      </c>
      <c r="M663" s="1">
        <f t="shared" si="722"/>
        <v>9.4299907684326167E-2</v>
      </c>
      <c r="N663">
        <v>201</v>
      </c>
      <c r="O663" t="s">
        <v>12</v>
      </c>
    </row>
    <row r="664" spans="1:15" x14ac:dyDescent="0.45">
      <c r="B664">
        <v>4</v>
      </c>
      <c r="C664">
        <f>E665-E664</f>
        <v>0.15614008903503418</v>
      </c>
      <c r="E664" s="1">
        <v>1536840688.0645599</v>
      </c>
      <c r="F664" s="1">
        <f t="shared" ref="F664" si="725">E664-G664+0.13</f>
        <v>0.24582994461059571</v>
      </c>
      <c r="G664" s="1">
        <v>1536840687.94873</v>
      </c>
      <c r="H664">
        <f>G664-I664</f>
        <v>0.21241998672485352</v>
      </c>
      <c r="I664" s="1">
        <v>1536840687.73631</v>
      </c>
      <c r="M664" s="1">
        <f t="shared" si="712"/>
        <v>0.45824993133544922</v>
      </c>
      <c r="N664">
        <v>616</v>
      </c>
      <c r="O664" t="s">
        <v>14</v>
      </c>
    </row>
    <row r="665" spans="1:15" x14ac:dyDescent="0.45">
      <c r="B665">
        <v>5</v>
      </c>
      <c r="E665" s="1">
        <v>1536840688.2207</v>
      </c>
      <c r="F665" s="1">
        <f t="shared" ref="F665" si="726">G665-E665-0.13</f>
        <v>-0.1436101245880127</v>
      </c>
      <c r="G665" s="1">
        <v>1536840688.2070899</v>
      </c>
      <c r="H665">
        <f>I665-G665</f>
        <v>0.35818004608154297</v>
      </c>
      <c r="I665" s="1">
        <v>1536840688.5652699</v>
      </c>
      <c r="K665">
        <f>I666-I665</f>
        <v>9.2220067977905273E-2</v>
      </c>
      <c r="M665" s="1">
        <f t="shared" si="712"/>
        <v>0.21456992149353027</v>
      </c>
      <c r="N665">
        <v>438</v>
      </c>
      <c r="O665" t="s">
        <v>15</v>
      </c>
    </row>
    <row r="666" spans="1:15" x14ac:dyDescent="0.45">
      <c r="B666">
        <v>6</v>
      </c>
      <c r="C666">
        <f>E667-E666</f>
        <v>4.3270111083984375E-2</v>
      </c>
      <c r="E666" s="1">
        <v>1536840688.67694</v>
      </c>
      <c r="F666" s="1">
        <f t="shared" ref="F666" si="727">E666-G666+0.13</f>
        <v>0.18558991432189942</v>
      </c>
      <c r="G666" s="1">
        <v>1536840688.62135</v>
      </c>
      <c r="H666">
        <f>G666-I666</f>
        <v>-3.6139965057373047E-2</v>
      </c>
      <c r="I666" s="1">
        <v>1536840688.65749</v>
      </c>
      <c r="M666" s="1">
        <f t="shared" si="712"/>
        <v>0.14944994926452637</v>
      </c>
      <c r="N666">
        <v>129</v>
      </c>
      <c r="O666" t="s">
        <v>16</v>
      </c>
    </row>
    <row r="667" spans="1:15" x14ac:dyDescent="0.45">
      <c r="B667">
        <v>7</v>
      </c>
      <c r="E667" s="1">
        <v>1536840688.7202101</v>
      </c>
      <c r="F667" s="1">
        <f t="shared" ref="F667" si="728">G667-E667-0.13</f>
        <v>-0.14420998573303223</v>
      </c>
      <c r="G667" s="1">
        <v>1536840688.7060001</v>
      </c>
      <c r="H667">
        <f>I667-G667</f>
        <v>0.19858002662658691</v>
      </c>
      <c r="I667" s="1">
        <v>1536840688.9045801</v>
      </c>
      <c r="K667">
        <f>I668-I667</f>
        <v>0.13494992256164551</v>
      </c>
      <c r="M667" s="1">
        <f t="shared" si="712"/>
        <v>5.4370040893554683E-2</v>
      </c>
      <c r="N667">
        <v>113</v>
      </c>
      <c r="O667" t="s">
        <v>17</v>
      </c>
    </row>
    <row r="668" spans="1:15" x14ac:dyDescent="0.45">
      <c r="B668">
        <v>8</v>
      </c>
      <c r="E668" s="1">
        <v>1536840689.08954</v>
      </c>
      <c r="F668" s="1">
        <f t="shared" ref="F668" si="729">E668-G668+0.13</f>
        <v>0.25871003150939942</v>
      </c>
      <c r="G668" s="1">
        <v>1536840688.96083</v>
      </c>
      <c r="H668">
        <f>G668-I668</f>
        <v>-7.8700065612792969E-2</v>
      </c>
      <c r="I668" s="1">
        <v>1536840689.03953</v>
      </c>
      <c r="M668" s="1">
        <f t="shared" si="712"/>
        <v>0.18000996589660645</v>
      </c>
      <c r="N668">
        <v>104</v>
      </c>
      <c r="O668" t="s">
        <v>17</v>
      </c>
    </row>
    <row r="669" spans="1:15" x14ac:dyDescent="0.45">
      <c r="B669" t="s">
        <v>3</v>
      </c>
      <c r="C669">
        <f>C662+C664+C666</f>
        <v>0.21602034568786621</v>
      </c>
      <c r="F669">
        <f t="shared" ref="F669" si="730">SUM(F661:F668)</f>
        <v>0.36310958862304688</v>
      </c>
      <c r="H669">
        <f>SUM(H661:H668)</f>
        <v>1.1289200782775879</v>
      </c>
      <c r="K669">
        <f>K661+K663+K665+K667</f>
        <v>0.28223991394042969</v>
      </c>
      <c r="M669" t="s">
        <v>18</v>
      </c>
      <c r="N669" t="s">
        <v>10</v>
      </c>
      <c r="O669" t="s">
        <v>11</v>
      </c>
    </row>
    <row r="670" spans="1:15" x14ac:dyDescent="0.45">
      <c r="A670">
        <v>75</v>
      </c>
      <c r="B670">
        <v>1</v>
      </c>
      <c r="E670" s="1">
        <v>1536840694.7298901</v>
      </c>
      <c r="F670" s="1">
        <f t="shared" ref="F670" si="731">G670-E670-0.13</f>
        <v>-0.14195001602172852</v>
      </c>
      <c r="G670" s="1">
        <v>1536840694.7179401</v>
      </c>
      <c r="H670">
        <f>I670-G670</f>
        <v>0.25803995132446289</v>
      </c>
      <c r="I670" s="1">
        <v>1536840694.97598</v>
      </c>
      <c r="K670">
        <f>I671-I670</f>
        <v>6.5400600433349609E-3</v>
      </c>
      <c r="M670" s="1">
        <f t="shared" ref="M670:M672" si="732">F670+H670</f>
        <v>0.11608993530273437</v>
      </c>
      <c r="N670" s="2">
        <v>169</v>
      </c>
      <c r="O670" s="2" t="s">
        <v>12</v>
      </c>
    </row>
    <row r="671" spans="1:15" x14ac:dyDescent="0.45">
      <c r="B671">
        <v>2</v>
      </c>
      <c r="C671">
        <f>E672-E671</f>
        <v>2.827000617980957E-2</v>
      </c>
      <c r="E671" s="1">
        <v>1536840695.0267401</v>
      </c>
      <c r="F671" s="1">
        <f t="shared" ref="F671" si="733">E671-G671+0.13</f>
        <v>0.19299018859863282</v>
      </c>
      <c r="G671" s="1">
        <v>1536840694.9637499</v>
      </c>
      <c r="H671">
        <f>G671-I671</f>
        <v>-1.8770217895507813E-2</v>
      </c>
      <c r="I671" s="1">
        <v>1536840694.9825201</v>
      </c>
      <c r="M671" s="1">
        <f t="shared" si="732"/>
        <v>0.174219970703125</v>
      </c>
      <c r="N671" s="2">
        <v>122</v>
      </c>
      <c r="O671" s="2" t="s">
        <v>13</v>
      </c>
    </row>
    <row r="672" spans="1:15" x14ac:dyDescent="0.45">
      <c r="B672">
        <v>3</v>
      </c>
      <c r="E672" s="1">
        <v>1536840695.0550101</v>
      </c>
      <c r="F672" s="1">
        <f t="shared" ref="F672" si="734">G672-E672-0.13</f>
        <v>-0.14707005500793457</v>
      </c>
      <c r="G672" s="1">
        <v>1536840695.03794</v>
      </c>
      <c r="H672">
        <f>I672-G672</f>
        <v>0.27661991119384766</v>
      </c>
      <c r="I672" s="1">
        <v>1536840695.3145599</v>
      </c>
      <c r="K672">
        <f>I673-I672</f>
        <v>4.7530174255371094E-2</v>
      </c>
      <c r="M672" s="1">
        <f t="shared" si="732"/>
        <v>0.12954985618591308</v>
      </c>
      <c r="N672" s="2">
        <v>201</v>
      </c>
      <c r="O672" s="2" t="s">
        <v>12</v>
      </c>
    </row>
    <row r="673" spans="1:15" x14ac:dyDescent="0.45">
      <c r="B673">
        <v>4</v>
      </c>
      <c r="C673">
        <f>E674-E673</f>
        <v>0.15640997886657715</v>
      </c>
      <c r="E673" s="1">
        <v>1536840695.64008</v>
      </c>
      <c r="F673" s="1">
        <f t="shared" ref="F673" si="735">E673-G673+0.13</f>
        <v>0.19763005256652832</v>
      </c>
      <c r="G673" s="1">
        <v>1536840695.5724499</v>
      </c>
      <c r="H673">
        <f>G673-I673</f>
        <v>0.21035981178283691</v>
      </c>
      <c r="I673" s="1">
        <v>1536840695.3620901</v>
      </c>
      <c r="M673" s="1">
        <f t="shared" si="712"/>
        <v>0.40798986434936524</v>
      </c>
      <c r="N673" s="2">
        <v>616</v>
      </c>
      <c r="O673" s="2" t="s">
        <v>14</v>
      </c>
    </row>
    <row r="674" spans="1:15" x14ac:dyDescent="0.45">
      <c r="B674">
        <v>5</v>
      </c>
      <c r="E674" s="1">
        <v>1536840695.79649</v>
      </c>
      <c r="F674" s="1">
        <f t="shared" ref="F674" si="736">G674-E674-0.13</f>
        <v>-0.14719999313354493</v>
      </c>
      <c r="G674" s="1">
        <v>1536840695.77929</v>
      </c>
      <c r="H674">
        <f>I674-G674</f>
        <v>0.41183996200561523</v>
      </c>
      <c r="I674" s="1">
        <v>1536840696.1911299</v>
      </c>
      <c r="K674">
        <f>I675-I674</f>
        <v>8.0330133438110352E-2</v>
      </c>
      <c r="M674" s="1">
        <f t="shared" si="712"/>
        <v>0.26463996887207031</v>
      </c>
      <c r="N674" s="2">
        <v>438</v>
      </c>
      <c r="O674" s="2" t="s">
        <v>15</v>
      </c>
    </row>
    <row r="675" spans="1:15" x14ac:dyDescent="0.45">
      <c r="B675">
        <v>6</v>
      </c>
      <c r="C675">
        <f>E676-E675</f>
        <v>6.4690113067626953E-2</v>
      </c>
      <c r="E675" s="1">
        <v>1536840696.3579099</v>
      </c>
      <c r="F675" s="1">
        <f t="shared" ref="F675" si="737">E675-G675+0.13</f>
        <v>0.24284995079040528</v>
      </c>
      <c r="G675" s="1">
        <v>1536840696.24506</v>
      </c>
      <c r="H675">
        <f>G675-I675</f>
        <v>-2.6400089263916016E-2</v>
      </c>
      <c r="I675" s="1">
        <v>1536840696.2714601</v>
      </c>
      <c r="M675" s="1">
        <f t="shared" si="712"/>
        <v>0.21644986152648926</v>
      </c>
      <c r="N675" s="2">
        <v>129</v>
      </c>
      <c r="O675" s="2" t="s">
        <v>16</v>
      </c>
    </row>
    <row r="676" spans="1:15" x14ac:dyDescent="0.45">
      <c r="B676">
        <v>7</v>
      </c>
      <c r="E676" s="1">
        <v>1536840696.4226</v>
      </c>
      <c r="F676" s="1">
        <f t="shared" ref="F676" si="738">G676-E676-0.13</f>
        <v>-0.14768994331359864</v>
      </c>
      <c r="G676" s="1">
        <v>1536840696.4049101</v>
      </c>
      <c r="H676">
        <f>I676-G676</f>
        <v>0.19302988052368164</v>
      </c>
      <c r="I676" s="1">
        <v>1536840696.59794</v>
      </c>
      <c r="K676">
        <f>I677-I676</f>
        <v>0.13593006134033203</v>
      </c>
      <c r="M676" s="1">
        <f t="shared" si="712"/>
        <v>4.5339937210083003E-2</v>
      </c>
      <c r="N676" s="2">
        <v>113</v>
      </c>
      <c r="O676" s="2" t="s">
        <v>17</v>
      </c>
    </row>
    <row r="677" spans="1:15" x14ac:dyDescent="0.45">
      <c r="B677">
        <v>8</v>
      </c>
      <c r="E677" s="1">
        <v>1536840696.7669201</v>
      </c>
      <c r="F677" s="1">
        <f t="shared" ref="F677" si="739">E677-G677+0.13</f>
        <v>0.24491012573242188</v>
      </c>
      <c r="G677" s="1">
        <v>1536840696.65201</v>
      </c>
      <c r="H677">
        <f>G677-I677</f>
        <v>-8.1860065460205078E-2</v>
      </c>
      <c r="I677" s="1">
        <v>1536840696.73387</v>
      </c>
      <c r="M677" s="1">
        <f t="shared" si="712"/>
        <v>0.1630500602722168</v>
      </c>
      <c r="N677" s="2">
        <v>104</v>
      </c>
      <c r="O677" s="2" t="s">
        <v>17</v>
      </c>
    </row>
    <row r="678" spans="1:15" x14ac:dyDescent="0.45">
      <c r="B678" t="s">
        <v>3</v>
      </c>
      <c r="C678">
        <f>C671+C673+C675</f>
        <v>0.24937009811401367</v>
      </c>
      <c r="F678">
        <f t="shared" ref="F678" si="740">SUM(F670:F677)</f>
        <v>0.29447031021118164</v>
      </c>
      <c r="H678">
        <f>SUM(H670:H677)</f>
        <v>1.2228591442108154</v>
      </c>
      <c r="K678">
        <f>K670+K672+K674+K676</f>
        <v>0.27033042907714844</v>
      </c>
      <c r="M678" t="s">
        <v>18</v>
      </c>
      <c r="N678" s="2" t="s">
        <v>10</v>
      </c>
      <c r="O678" s="2" t="s">
        <v>11</v>
      </c>
    </row>
    <row r="679" spans="1:15" x14ac:dyDescent="0.45">
      <c r="A679">
        <v>76</v>
      </c>
      <c r="B679">
        <v>1</v>
      </c>
      <c r="E679" s="1">
        <v>1536840700.7788401</v>
      </c>
      <c r="F679" s="1">
        <f t="shared" ref="F679" si="741">G679-E679-0.13</f>
        <v>-0.14505017280578614</v>
      </c>
      <c r="G679" s="1">
        <v>1536840700.7637899</v>
      </c>
      <c r="H679">
        <f>I679-G679</f>
        <v>0.28592014312744141</v>
      </c>
      <c r="I679" s="1">
        <v>1536840701.04971</v>
      </c>
      <c r="K679">
        <f>I680-I679</f>
        <v>6.1500072479248047E-3</v>
      </c>
      <c r="M679" s="1">
        <f t="shared" ref="M679:M681" si="742">F679+H679</f>
        <v>0.14086997032165527</v>
      </c>
      <c r="N679">
        <v>169</v>
      </c>
      <c r="O679" t="s">
        <v>12</v>
      </c>
    </row>
    <row r="680" spans="1:15" x14ac:dyDescent="0.45">
      <c r="B680">
        <v>2</v>
      </c>
      <c r="C680">
        <f>E681-E680</f>
        <v>2.0329952239990234E-2</v>
      </c>
      <c r="E680" s="1">
        <v>1536840701.1715701</v>
      </c>
      <c r="F680" s="1">
        <f t="shared" ref="F680" si="743">E680-G680+0.13</f>
        <v>0.26651013374328614</v>
      </c>
      <c r="G680" s="1">
        <v>1536840701.0350599</v>
      </c>
      <c r="H680">
        <f>G680-I680</f>
        <v>-2.0800113677978516E-2</v>
      </c>
      <c r="I680" s="1">
        <v>1536840701.05586</v>
      </c>
      <c r="M680" s="1">
        <f t="shared" si="742"/>
        <v>0.24571002006530762</v>
      </c>
      <c r="N680">
        <v>122</v>
      </c>
      <c r="O680" t="s">
        <v>13</v>
      </c>
    </row>
    <row r="681" spans="1:15" x14ac:dyDescent="0.45">
      <c r="B681">
        <v>3</v>
      </c>
      <c r="E681" s="1">
        <v>1536840701.1919</v>
      </c>
      <c r="F681" s="1">
        <f t="shared" ref="F681" si="744">G681-E681-0.13</f>
        <v>-0.14798009872436524</v>
      </c>
      <c r="G681" s="1">
        <v>1536840701.1739199</v>
      </c>
      <c r="H681">
        <f>I681-G681</f>
        <v>0.28187012672424316</v>
      </c>
      <c r="I681" s="1">
        <v>1536840701.45579</v>
      </c>
      <c r="K681">
        <f>I682-I681</f>
        <v>4.7080039978027344E-2</v>
      </c>
      <c r="M681" s="1">
        <f t="shared" si="742"/>
        <v>0.13389002799987793</v>
      </c>
      <c r="N681">
        <v>201</v>
      </c>
      <c r="O681" t="s">
        <v>12</v>
      </c>
    </row>
    <row r="682" spans="1:15" x14ac:dyDescent="0.45">
      <c r="B682">
        <v>4</v>
      </c>
      <c r="C682">
        <f>E683-E682</f>
        <v>0.17755985260009766</v>
      </c>
      <c r="E682" s="1">
        <v>1536840701.8869801</v>
      </c>
      <c r="F682" s="1">
        <f t="shared" ref="F682" si="745">E682-G682+0.13</f>
        <v>0.23965013504028321</v>
      </c>
      <c r="G682" s="1">
        <v>1536840701.7773299</v>
      </c>
      <c r="H682">
        <f>G682-I682</f>
        <v>0.2744598388671875</v>
      </c>
      <c r="I682" s="1">
        <v>1536840701.5028701</v>
      </c>
      <c r="M682" s="1">
        <f t="shared" si="712"/>
        <v>0.51410997390747071</v>
      </c>
      <c r="N682">
        <v>616</v>
      </c>
      <c r="O682" t="s">
        <v>14</v>
      </c>
    </row>
    <row r="683" spans="1:15" x14ac:dyDescent="0.45">
      <c r="B683">
        <v>5</v>
      </c>
      <c r="E683" s="1">
        <v>1536840702.0645399</v>
      </c>
      <c r="F683" s="1">
        <f t="shared" ref="F683" si="746">G683-E683-0.13</f>
        <v>-0.15043986320495606</v>
      </c>
      <c r="G683" s="1">
        <v>1536840702.0441</v>
      </c>
      <c r="H683">
        <f>I683-G683</f>
        <v>0.42322993278503418</v>
      </c>
      <c r="I683" s="1">
        <v>1536840702.46733</v>
      </c>
      <c r="K683">
        <f>I684-I683</f>
        <v>9.3179941177368164E-2</v>
      </c>
      <c r="M683" s="1">
        <f t="shared" si="712"/>
        <v>0.27279006958007812</v>
      </c>
      <c r="N683">
        <v>438</v>
      </c>
      <c r="O683" t="s">
        <v>15</v>
      </c>
    </row>
    <row r="684" spans="1:15" x14ac:dyDescent="0.45">
      <c r="B684">
        <v>6</v>
      </c>
      <c r="C684">
        <f>E685-E684</f>
        <v>4.7509908676147461E-2</v>
      </c>
      <c r="E684" s="1">
        <v>1536840702.60572</v>
      </c>
      <c r="F684" s="1">
        <f t="shared" ref="F684" si="747">E684-G684+0.13</f>
        <v>0.21628010749816895</v>
      </c>
      <c r="G684" s="1">
        <v>1536840702.5194399</v>
      </c>
      <c r="H684">
        <f>G684-I684</f>
        <v>-4.1069984436035156E-2</v>
      </c>
      <c r="I684" s="1">
        <v>1536840702.5605099</v>
      </c>
      <c r="M684" s="1">
        <f t="shared" si="712"/>
        <v>0.17521012306213379</v>
      </c>
      <c r="N684">
        <v>129</v>
      </c>
      <c r="O684" t="s">
        <v>16</v>
      </c>
    </row>
    <row r="685" spans="1:15" x14ac:dyDescent="0.45">
      <c r="B685">
        <v>7</v>
      </c>
      <c r="E685" s="1">
        <v>1536840702.65323</v>
      </c>
      <c r="F685" s="1">
        <f t="shared" ref="F685" si="748">G685-E685-0.13</f>
        <v>-0.15075004577636719</v>
      </c>
      <c r="G685" s="1">
        <v>1536840702.6324799</v>
      </c>
      <c r="H685">
        <f>I685-G685</f>
        <v>0.17420005798339844</v>
      </c>
      <c r="I685" s="1">
        <v>1536840702.80668</v>
      </c>
      <c r="K685">
        <f>I686-I685</f>
        <v>0.19367003440856934</v>
      </c>
      <c r="M685" s="1">
        <f t="shared" si="712"/>
        <v>2.3450012207031246E-2</v>
      </c>
      <c r="N685">
        <v>113</v>
      </c>
      <c r="O685" t="s">
        <v>17</v>
      </c>
    </row>
    <row r="686" spans="1:15" x14ac:dyDescent="0.45">
      <c r="B686">
        <v>8</v>
      </c>
      <c r="E686" s="1">
        <v>1536840702.91082</v>
      </c>
      <c r="F686" s="1">
        <f t="shared" ref="F686" si="749">E686-G686+0.13</f>
        <v>0.18188989639282227</v>
      </c>
      <c r="G686" s="1">
        <v>1536840702.8589301</v>
      </c>
      <c r="H686">
        <f>G686-I686</f>
        <v>-0.14141988754272461</v>
      </c>
      <c r="I686" s="1">
        <v>1536840703.00035</v>
      </c>
      <c r="M686" s="1">
        <f t="shared" si="712"/>
        <v>4.0470008850097661E-2</v>
      </c>
      <c r="N686">
        <v>104</v>
      </c>
      <c r="O686" t="s">
        <v>17</v>
      </c>
    </row>
    <row r="687" spans="1:15" x14ac:dyDescent="0.45">
      <c r="B687" t="s">
        <v>3</v>
      </c>
      <c r="C687">
        <f>C680+C682+C684</f>
        <v>0.24539971351623535</v>
      </c>
      <c r="F687">
        <f t="shared" ref="F687" si="750">SUM(F679:F686)</f>
        <v>0.31011009216308594</v>
      </c>
      <c r="H687">
        <f>SUM(H679:H686)</f>
        <v>1.2363901138305664</v>
      </c>
      <c r="K687">
        <f>K679+K681+K683+K685</f>
        <v>0.34008002281188965</v>
      </c>
      <c r="M687" t="s">
        <v>18</v>
      </c>
      <c r="N687" t="s">
        <v>10</v>
      </c>
      <c r="O687" t="s">
        <v>11</v>
      </c>
    </row>
    <row r="688" spans="1:15" x14ac:dyDescent="0.45">
      <c r="A688">
        <v>77</v>
      </c>
      <c r="B688">
        <v>1</v>
      </c>
      <c r="E688" s="1">
        <v>1536840706.2281101</v>
      </c>
      <c r="F688" s="1">
        <f t="shared" ref="F688" si="751">G688-E688-0.13</f>
        <v>-0.14704001426696778</v>
      </c>
      <c r="G688" s="1">
        <v>1536840706.2110701</v>
      </c>
      <c r="H688">
        <f>I688-G688</f>
        <v>0.23752999305725098</v>
      </c>
      <c r="I688" s="1">
        <v>1536840706.4486001</v>
      </c>
      <c r="K688">
        <f>I689-I688</f>
        <v>6.4299106597900391E-3</v>
      </c>
      <c r="M688" s="1">
        <f t="shared" ref="M688:M690" si="752">F688+H688</f>
        <v>9.0489978790283199E-2</v>
      </c>
      <c r="N688" s="2">
        <v>169</v>
      </c>
      <c r="O688" s="2" t="s">
        <v>12</v>
      </c>
    </row>
    <row r="689" spans="1:15" x14ac:dyDescent="0.45">
      <c r="B689">
        <v>2</v>
      </c>
      <c r="C689">
        <f>E690-E689</f>
        <v>1.9119977951049805E-2</v>
      </c>
      <c r="E689" s="1">
        <v>1536840706.49488</v>
      </c>
      <c r="F689" s="1">
        <f t="shared" ref="F689" si="753">E689-G689+0.13</f>
        <v>0.19251001358032227</v>
      </c>
      <c r="G689" s="1">
        <v>1536840706.4323699</v>
      </c>
      <c r="H689">
        <f>G689-I689</f>
        <v>-2.2660017013549805E-2</v>
      </c>
      <c r="I689" s="1">
        <v>1536840706.45503</v>
      </c>
      <c r="M689" s="1">
        <f t="shared" si="752"/>
        <v>0.16984999656677247</v>
      </c>
      <c r="N689" s="2">
        <v>122</v>
      </c>
      <c r="O689" s="2" t="s">
        <v>13</v>
      </c>
    </row>
    <row r="690" spans="1:15" x14ac:dyDescent="0.45">
      <c r="B690">
        <v>3</v>
      </c>
      <c r="E690" s="1">
        <v>1536840706.5139999</v>
      </c>
      <c r="F690" s="1">
        <f t="shared" ref="F690" si="754">G690-E690-0.13</f>
        <v>-0.15308988571166993</v>
      </c>
      <c r="G690" s="1">
        <v>1536840706.4909101</v>
      </c>
      <c r="H690">
        <f>I690-G690</f>
        <v>0.22880005836486816</v>
      </c>
      <c r="I690" s="1">
        <v>1536840706.7197101</v>
      </c>
      <c r="K690">
        <f>I691-I690</f>
        <v>4.683995246887207E-2</v>
      </c>
      <c r="M690" s="1">
        <f t="shared" si="752"/>
        <v>7.5710172653198238E-2</v>
      </c>
      <c r="N690" s="2">
        <v>201</v>
      </c>
      <c r="O690" s="2" t="s">
        <v>12</v>
      </c>
    </row>
    <row r="691" spans="1:15" x14ac:dyDescent="0.45">
      <c r="B691">
        <v>4</v>
      </c>
      <c r="C691">
        <f>E692-E691</f>
        <v>0.16589999198913574</v>
      </c>
      <c r="E691" s="1">
        <v>1536840707.00881</v>
      </c>
      <c r="F691" s="1">
        <f t="shared" ref="F691" si="755">E691-G691+0.13</f>
        <v>0.16454995155334473</v>
      </c>
      <c r="G691" s="1">
        <v>1536840706.9742601</v>
      </c>
      <c r="H691">
        <f>G691-I691</f>
        <v>0.20771002769470215</v>
      </c>
      <c r="I691" s="1">
        <v>1536840706.7665501</v>
      </c>
      <c r="M691" s="1">
        <f t="shared" si="712"/>
        <v>0.37225997924804688</v>
      </c>
      <c r="N691" s="2">
        <v>616</v>
      </c>
      <c r="O691" s="2" t="s">
        <v>14</v>
      </c>
    </row>
    <row r="692" spans="1:15" x14ac:dyDescent="0.45">
      <c r="B692">
        <v>5</v>
      </c>
      <c r="E692" s="1">
        <v>1536840707.17471</v>
      </c>
      <c r="F692" s="1">
        <f t="shared" ref="F692" si="756">G692-E692-0.13</f>
        <v>-0.15039003372192383</v>
      </c>
      <c r="G692" s="1">
        <v>1536840707.15432</v>
      </c>
      <c r="H692">
        <f>I692-G692</f>
        <v>0.37513995170593262</v>
      </c>
      <c r="I692" s="1">
        <v>1536840707.52946</v>
      </c>
      <c r="K692">
        <f>I693-I692</f>
        <v>9.1429948806762695E-2</v>
      </c>
      <c r="M692" s="1">
        <f t="shared" si="712"/>
        <v>0.22474991798400878</v>
      </c>
      <c r="N692" s="2">
        <v>438</v>
      </c>
      <c r="O692" s="2" t="s">
        <v>15</v>
      </c>
    </row>
    <row r="693" spans="1:15" x14ac:dyDescent="0.45">
      <c r="B693">
        <v>6</v>
      </c>
      <c r="C693">
        <f>E694-E693</f>
        <v>4.0829896926879883E-2</v>
      </c>
      <c r="E693" s="1">
        <v>1536840707.7258301</v>
      </c>
      <c r="F693" s="1">
        <f t="shared" ref="F693" si="757">E693-G693+0.13</f>
        <v>0.27640998840332032</v>
      </c>
      <c r="G693" s="1">
        <v>1536840707.5794201</v>
      </c>
      <c r="H693">
        <f>G693-I693</f>
        <v>-4.1469812393188477E-2</v>
      </c>
      <c r="I693" s="1">
        <v>1536840707.6208899</v>
      </c>
      <c r="M693" s="1">
        <f t="shared" si="712"/>
        <v>0.23494017601013184</v>
      </c>
      <c r="N693" s="2">
        <v>129</v>
      </c>
      <c r="O693" s="2" t="s">
        <v>16</v>
      </c>
    </row>
    <row r="694" spans="1:15" x14ac:dyDescent="0.45">
      <c r="B694">
        <v>7</v>
      </c>
      <c r="E694" s="1">
        <v>1536840707.76666</v>
      </c>
      <c r="F694" s="1">
        <f t="shared" ref="F694" si="758">G694-E694-0.13</f>
        <v>-0.15333998680114747</v>
      </c>
      <c r="G694" s="1">
        <v>1536840707.74332</v>
      </c>
      <c r="H694">
        <f>I694-G694</f>
        <v>0.19233989715576172</v>
      </c>
      <c r="I694" s="1">
        <v>1536840707.9356599</v>
      </c>
      <c r="K694">
        <f>I695-I694</f>
        <v>0.18559002876281738</v>
      </c>
      <c r="M694" s="1">
        <f t="shared" si="712"/>
        <v>3.8999910354614253E-2</v>
      </c>
      <c r="N694" s="2">
        <v>113</v>
      </c>
      <c r="O694" s="2" t="s">
        <v>17</v>
      </c>
    </row>
    <row r="695" spans="1:15" x14ac:dyDescent="0.45">
      <c r="B695">
        <v>8</v>
      </c>
      <c r="E695" s="1">
        <v>1536840708.1331999</v>
      </c>
      <c r="F695" s="1">
        <f t="shared" ref="F695" si="759">E695-G695+0.13</f>
        <v>0.27692997932434082</v>
      </c>
      <c r="G695" s="1">
        <v>1536840707.98627</v>
      </c>
      <c r="H695">
        <f>G695-I695</f>
        <v>-0.1349799633026123</v>
      </c>
      <c r="I695" s="1">
        <v>1536840708.1212499</v>
      </c>
      <c r="M695" s="1">
        <f t="shared" si="712"/>
        <v>0.14195001602172852</v>
      </c>
      <c r="N695" s="2">
        <v>104</v>
      </c>
      <c r="O695" s="2" t="s">
        <v>17</v>
      </c>
    </row>
    <row r="696" spans="1:15" x14ac:dyDescent="0.45">
      <c r="B696" t="s">
        <v>3</v>
      </c>
      <c r="C696">
        <f>C689+C691+C693</f>
        <v>0.22584986686706543</v>
      </c>
      <c r="F696">
        <f t="shared" ref="F696" si="760">SUM(F688:F695)</f>
        <v>0.30654001235961914</v>
      </c>
      <c r="H696">
        <f>SUM(H688:H695)</f>
        <v>1.042410135269165</v>
      </c>
      <c r="K696">
        <f>K688+K690+K692+K694</f>
        <v>0.33028984069824219</v>
      </c>
      <c r="M696" t="s">
        <v>18</v>
      </c>
      <c r="N696" s="2" t="s">
        <v>10</v>
      </c>
      <c r="O696" s="2" t="s">
        <v>11</v>
      </c>
    </row>
    <row r="697" spans="1:15" x14ac:dyDescent="0.45">
      <c r="A697">
        <v>78</v>
      </c>
      <c r="B697">
        <v>1</v>
      </c>
      <c r="E697" s="1">
        <v>1536840711.9776101</v>
      </c>
      <c r="F697" s="1">
        <f t="shared" ref="F697" si="761">G697-E697-0.13</f>
        <v>-0.14925015449523926</v>
      </c>
      <c r="G697" s="1">
        <v>1536840711.95836</v>
      </c>
      <c r="H697">
        <f>I697-G697</f>
        <v>0.22659993171691895</v>
      </c>
      <c r="I697" s="1">
        <v>1536840712.1849599</v>
      </c>
      <c r="K697">
        <f>I698-I697</f>
        <v>6.3700675964355469E-3</v>
      </c>
      <c r="M697" s="1">
        <f t="shared" ref="M697:M699" si="762">F697+H697</f>
        <v>7.7349777221679683E-2</v>
      </c>
      <c r="N697">
        <v>169</v>
      </c>
      <c r="O697" t="s">
        <v>12</v>
      </c>
    </row>
    <row r="698" spans="1:15" x14ac:dyDescent="0.45">
      <c r="B698">
        <v>2</v>
      </c>
      <c r="C698">
        <f>E699-E698</f>
        <v>3.6900043487548828E-3</v>
      </c>
      <c r="E698" s="1">
        <v>1536840712.22927</v>
      </c>
      <c r="F698" s="1">
        <f t="shared" ref="F698" si="763">E698-G698+0.13</f>
        <v>0.19224989891052247</v>
      </c>
      <c r="G698" s="1">
        <v>1536840712.1670201</v>
      </c>
      <c r="H698">
        <f>G698-I698</f>
        <v>-2.4309873580932617E-2</v>
      </c>
      <c r="I698" s="1">
        <v>1536840712.19133</v>
      </c>
      <c r="M698" s="1">
        <f t="shared" si="762"/>
        <v>0.16794002532958985</v>
      </c>
      <c r="N698">
        <v>122</v>
      </c>
      <c r="O698" t="s">
        <v>13</v>
      </c>
    </row>
    <row r="699" spans="1:15" x14ac:dyDescent="0.45">
      <c r="B699">
        <v>3</v>
      </c>
      <c r="E699" s="1">
        <v>1536840712.23296</v>
      </c>
      <c r="F699" s="1">
        <f t="shared" ref="F699" si="764">G699-E699-0.13</f>
        <v>-0.15885007858276368</v>
      </c>
      <c r="G699" s="1">
        <v>1536840712.2041099</v>
      </c>
      <c r="H699">
        <f>I699-G699</f>
        <v>0.25195002555847168</v>
      </c>
      <c r="I699" s="1">
        <v>1536840712.4560599</v>
      </c>
      <c r="K699">
        <f>I700-I699</f>
        <v>4.6290159225463867E-2</v>
      </c>
      <c r="M699" s="1">
        <f t="shared" si="762"/>
        <v>9.3099946975708003E-2</v>
      </c>
      <c r="N699">
        <v>201</v>
      </c>
      <c r="O699" t="s">
        <v>12</v>
      </c>
    </row>
    <row r="700" spans="1:15" x14ac:dyDescent="0.45">
      <c r="B700">
        <v>4</v>
      </c>
      <c r="C700">
        <f>E701-E700</f>
        <v>0.14913010597229004</v>
      </c>
      <c r="E700" s="1">
        <v>1536840712.8438499</v>
      </c>
      <c r="F700" s="1">
        <f t="shared" ref="F700" si="765">E700-G700+0.13</f>
        <v>0.26493990898132325</v>
      </c>
      <c r="G700" s="1">
        <v>1536840712.70891</v>
      </c>
      <c r="H700">
        <f>G700-I700</f>
        <v>0.20655989646911621</v>
      </c>
      <c r="I700" s="1">
        <v>1536840712.5023501</v>
      </c>
      <c r="M700" s="1">
        <f t="shared" si="712"/>
        <v>0.47149980545043946</v>
      </c>
      <c r="N700">
        <v>616</v>
      </c>
      <c r="O700" t="s">
        <v>14</v>
      </c>
    </row>
    <row r="701" spans="1:15" x14ac:dyDescent="0.45">
      <c r="B701">
        <v>5</v>
      </c>
      <c r="E701" s="1">
        <v>1536840712.99298</v>
      </c>
      <c r="F701" s="1">
        <f t="shared" ref="F701" si="766">G701-E701-0.13</f>
        <v>-0.15074003219604493</v>
      </c>
      <c r="G701" s="1">
        <v>1536840712.97224</v>
      </c>
      <c r="H701">
        <f>I701-G701</f>
        <v>0.36043000221252441</v>
      </c>
      <c r="I701" s="1">
        <v>1536840713.33267</v>
      </c>
      <c r="K701">
        <f>I702-I701</f>
        <v>9.6060037612915039E-2</v>
      </c>
      <c r="M701" s="1">
        <f t="shared" si="712"/>
        <v>0.20968997001647949</v>
      </c>
      <c r="N701">
        <v>438</v>
      </c>
      <c r="O701" t="s">
        <v>15</v>
      </c>
    </row>
    <row r="702" spans="1:15" x14ac:dyDescent="0.45">
      <c r="B702">
        <v>6</v>
      </c>
      <c r="C702">
        <f>E703-E702</f>
        <v>4.3270111083984375E-2</v>
      </c>
      <c r="E702" s="1">
        <v>1536840713.46363</v>
      </c>
      <c r="F702" s="1">
        <f t="shared" ref="F702" si="767">E702-G702+0.13</f>
        <v>0.21208990097045899</v>
      </c>
      <c r="G702" s="1">
        <v>1536840713.3815401</v>
      </c>
      <c r="H702">
        <f>G702-I702</f>
        <v>-4.7189950942993164E-2</v>
      </c>
      <c r="I702" s="1">
        <v>1536840713.42873</v>
      </c>
      <c r="M702" s="1">
        <f t="shared" si="712"/>
        <v>0.16489995002746582</v>
      </c>
      <c r="N702">
        <v>129</v>
      </c>
      <c r="O702" t="s">
        <v>16</v>
      </c>
    </row>
    <row r="703" spans="1:15" x14ac:dyDescent="0.45">
      <c r="B703">
        <v>7</v>
      </c>
      <c r="E703" s="1">
        <v>1536840713.5069001</v>
      </c>
      <c r="F703" s="1">
        <f t="shared" ref="F703" si="768">G703-E703-0.13</f>
        <v>-0.15662014961242676</v>
      </c>
      <c r="G703" s="1">
        <v>1536840713.4802799</v>
      </c>
      <c r="H703">
        <f>I703-G703</f>
        <v>0.19173002243041992</v>
      </c>
      <c r="I703" s="1">
        <v>1536840713.6720099</v>
      </c>
      <c r="K703">
        <f>I704-I703</f>
        <v>0.17967009544372559</v>
      </c>
      <c r="M703" s="1">
        <f t="shared" si="712"/>
        <v>3.510987281799316E-2</v>
      </c>
      <c r="N703">
        <v>113</v>
      </c>
      <c r="O703" t="s">
        <v>17</v>
      </c>
    </row>
    <row r="704" spans="1:15" x14ac:dyDescent="0.45">
      <c r="B704">
        <v>8</v>
      </c>
      <c r="E704" s="1">
        <v>1536840713.8694401</v>
      </c>
      <c r="F704" s="1">
        <f t="shared" ref="F704" si="769">E704-G704+0.13</f>
        <v>0.27841008186340332</v>
      </c>
      <c r="G704" s="1">
        <v>1536840713.72103</v>
      </c>
      <c r="H704">
        <f>G704-I704</f>
        <v>-0.13065004348754883</v>
      </c>
      <c r="I704" s="1">
        <v>1536840713.85168</v>
      </c>
      <c r="M704" s="1">
        <f t="shared" si="712"/>
        <v>0.1477600383758545</v>
      </c>
      <c r="N704">
        <v>104</v>
      </c>
      <c r="O704" t="s">
        <v>17</v>
      </c>
    </row>
    <row r="705" spans="1:15" x14ac:dyDescent="0.45">
      <c r="B705" t="s">
        <v>3</v>
      </c>
      <c r="C705">
        <f>C698+C700+C702</f>
        <v>0.1960902214050293</v>
      </c>
      <c r="F705">
        <f t="shared" ref="F705" si="770">SUM(F697:F704)</f>
        <v>0.3322293758392334</v>
      </c>
      <c r="H705">
        <f>SUM(H697:H704)</f>
        <v>1.0351200103759766</v>
      </c>
      <c r="K705">
        <f>K697+K699+K701+K703</f>
        <v>0.32839035987854004</v>
      </c>
      <c r="M705" t="s">
        <v>18</v>
      </c>
      <c r="N705" t="s">
        <v>10</v>
      </c>
      <c r="O705" t="s">
        <v>11</v>
      </c>
    </row>
    <row r="706" spans="1:15" x14ac:dyDescent="0.45">
      <c r="A706">
        <v>79</v>
      </c>
      <c r="B706">
        <v>1</v>
      </c>
      <c r="E706" s="1">
        <v>1536840718.6427</v>
      </c>
      <c r="F706" s="1">
        <f t="shared" ref="F706" si="771">G706-E706-0.13</f>
        <v>-0.1524599838256836</v>
      </c>
      <c r="G706" s="1">
        <v>1536840718.62024</v>
      </c>
      <c r="H706">
        <f>I706-G706</f>
        <v>0.24592995643615723</v>
      </c>
      <c r="I706" s="1">
        <v>1536840718.8661699</v>
      </c>
      <c r="K706">
        <f>I707-I706</f>
        <v>7.2801113128662109E-3</v>
      </c>
      <c r="M706" s="1">
        <f t="shared" ref="M706:M708" si="772">F706+H706</f>
        <v>9.3469972610473628E-2</v>
      </c>
      <c r="N706" s="2">
        <v>169</v>
      </c>
      <c r="O706" s="2" t="s">
        <v>12</v>
      </c>
    </row>
    <row r="707" spans="1:15" x14ac:dyDescent="0.45">
      <c r="B707">
        <v>2</v>
      </c>
      <c r="C707">
        <f>E708-E707</f>
        <v>2.2329807281494141E-2</v>
      </c>
      <c r="E707" s="1">
        <v>1536840718.9870701</v>
      </c>
      <c r="F707" s="1">
        <f t="shared" ref="F707" si="773">E707-G707+0.13</f>
        <v>0.27087009429931641</v>
      </c>
      <c r="G707" s="1">
        <v>1536840718.8462</v>
      </c>
      <c r="H707">
        <f>G707-I707</f>
        <v>-2.7250051498413086E-2</v>
      </c>
      <c r="I707" s="1">
        <v>1536840718.87345</v>
      </c>
      <c r="M707" s="1">
        <f t="shared" si="772"/>
        <v>0.24362004280090332</v>
      </c>
      <c r="N707" s="2">
        <v>122</v>
      </c>
      <c r="O707" s="2" t="s">
        <v>13</v>
      </c>
    </row>
    <row r="708" spans="1:15" x14ac:dyDescent="0.45">
      <c r="B708">
        <v>3</v>
      </c>
      <c r="E708" s="1">
        <v>1536840719.0093999</v>
      </c>
      <c r="F708" s="1">
        <f t="shared" ref="F708" si="774">G708-E708-0.13</f>
        <v>-0.1589599895477295</v>
      </c>
      <c r="G708" s="1">
        <v>1536840718.9804399</v>
      </c>
      <c r="H708">
        <f>I708-G708</f>
        <v>0.29181003570556641</v>
      </c>
      <c r="I708" s="1">
        <v>1536840719.2722499</v>
      </c>
      <c r="K708">
        <f>I709-I708</f>
        <v>4.6760082244873047E-2</v>
      </c>
      <c r="M708" s="1">
        <f t="shared" si="772"/>
        <v>0.13285004615783691</v>
      </c>
      <c r="N708" s="2">
        <v>201</v>
      </c>
      <c r="O708" s="2" t="s">
        <v>12</v>
      </c>
    </row>
    <row r="709" spans="1:15" x14ac:dyDescent="0.45">
      <c r="B709">
        <v>4</v>
      </c>
      <c r="C709">
        <f>E710-E709</f>
        <v>0.15496993064880371</v>
      </c>
      <c r="E709" s="1">
        <v>1536840719.6048601</v>
      </c>
      <c r="F709" s="1">
        <f t="shared" ref="F709" si="775">E709-G709+0.13</f>
        <v>0.21183002471923829</v>
      </c>
      <c r="G709" s="1">
        <v>1536840719.52303</v>
      </c>
      <c r="H709">
        <f>G709-I709</f>
        <v>0.20402002334594727</v>
      </c>
      <c r="I709" s="1">
        <v>1536840719.31901</v>
      </c>
      <c r="M709" s="1">
        <f t="shared" si="712"/>
        <v>0.41585004806518555</v>
      </c>
      <c r="N709" s="2">
        <v>616</v>
      </c>
      <c r="O709" s="2" t="s">
        <v>14</v>
      </c>
    </row>
    <row r="710" spans="1:15" x14ac:dyDescent="0.45">
      <c r="B710">
        <v>5</v>
      </c>
      <c r="E710" s="1">
        <v>1536840719.75983</v>
      </c>
      <c r="F710" s="1">
        <f t="shared" ref="F710" si="776">G710-E710-0.13</f>
        <v>-0.15916002273559571</v>
      </c>
      <c r="G710" s="1">
        <v>1536840719.73067</v>
      </c>
      <c r="H710">
        <f>I710-G710</f>
        <v>0.41816997528076172</v>
      </c>
      <c r="I710" s="1">
        <v>1536840720.14884</v>
      </c>
      <c r="K710">
        <f>I711-I710</f>
        <v>9.1730117797851563E-2</v>
      </c>
      <c r="M710" s="1">
        <f t="shared" si="712"/>
        <v>0.25900995254516601</v>
      </c>
      <c r="N710" s="2">
        <v>438</v>
      </c>
      <c r="O710" s="2" t="s">
        <v>15</v>
      </c>
    </row>
    <row r="711" spans="1:15" x14ac:dyDescent="0.45">
      <c r="B711">
        <v>6</v>
      </c>
      <c r="C711">
        <f>E712-E711</f>
        <v>4.8299789428710938E-2</v>
      </c>
      <c r="E711" s="1">
        <v>1536840720.3194201</v>
      </c>
      <c r="F711" s="1">
        <f t="shared" ref="F711" si="777">E711-G711+0.13</f>
        <v>0.25376999855041504</v>
      </c>
      <c r="G711" s="1">
        <v>1536840720.1956501</v>
      </c>
      <c r="H711">
        <f>G711-I711</f>
        <v>-4.4919967651367188E-2</v>
      </c>
      <c r="I711" s="1">
        <v>1536840720.2405701</v>
      </c>
      <c r="M711" s="1">
        <f t="shared" si="712"/>
        <v>0.20885003089904786</v>
      </c>
      <c r="N711" s="2">
        <v>129</v>
      </c>
      <c r="O711" s="2" t="s">
        <v>16</v>
      </c>
    </row>
    <row r="712" spans="1:15" x14ac:dyDescent="0.45">
      <c r="B712">
        <v>7</v>
      </c>
      <c r="E712" s="1">
        <v>1536840720.3677199</v>
      </c>
      <c r="F712" s="1">
        <f t="shared" ref="F712" si="778">G712-E712-0.13</f>
        <v>-0.15961993217468262</v>
      </c>
      <c r="G712" s="1">
        <v>1536840720.3381</v>
      </c>
      <c r="H712">
        <f>I712-G712</f>
        <v>0.2175600528717041</v>
      </c>
      <c r="I712" s="1">
        <v>1536840720.55566</v>
      </c>
      <c r="K712">
        <f>I713-I712</f>
        <v>0.13666009902954102</v>
      </c>
      <c r="M712" s="1">
        <f t="shared" si="712"/>
        <v>5.794012069702148E-2</v>
      </c>
      <c r="N712" s="2">
        <v>113</v>
      </c>
      <c r="O712" s="2" t="s">
        <v>17</v>
      </c>
    </row>
    <row r="713" spans="1:15" x14ac:dyDescent="0.45">
      <c r="B713">
        <v>8</v>
      </c>
      <c r="E713" s="1">
        <v>1536840720.7301099</v>
      </c>
      <c r="F713" s="1">
        <f t="shared" ref="F713" si="779">E713-G713+0.13</f>
        <v>0.25749981880187989</v>
      </c>
      <c r="G713" s="1">
        <v>1536840720.6026101</v>
      </c>
      <c r="H713">
        <f>G713-I713</f>
        <v>-8.9709997177124023E-2</v>
      </c>
      <c r="I713" s="1">
        <v>1536840720.6923201</v>
      </c>
      <c r="M713" s="1">
        <f t="shared" si="712"/>
        <v>0.16778982162475586</v>
      </c>
      <c r="N713" s="2">
        <v>104</v>
      </c>
      <c r="O713" s="2" t="s">
        <v>17</v>
      </c>
    </row>
    <row r="714" spans="1:15" x14ac:dyDescent="0.45">
      <c r="B714" t="s">
        <v>3</v>
      </c>
      <c r="C714">
        <f>C707+C709+C711</f>
        <v>0.22559952735900879</v>
      </c>
      <c r="F714">
        <f t="shared" ref="F714" si="780">SUM(F706:F713)</f>
        <v>0.3637700080871582</v>
      </c>
      <c r="H714">
        <f>SUM(H706:H713)</f>
        <v>1.2156100273132324</v>
      </c>
      <c r="K714">
        <f>K706+K708+K710+K712</f>
        <v>0.28243041038513184</v>
      </c>
      <c r="M714" t="s">
        <v>18</v>
      </c>
      <c r="N714" s="2" t="s">
        <v>10</v>
      </c>
      <c r="O714" s="2" t="s">
        <v>11</v>
      </c>
    </row>
    <row r="715" spans="1:15" x14ac:dyDescent="0.45">
      <c r="A715">
        <v>80</v>
      </c>
      <c r="B715">
        <v>1</v>
      </c>
      <c r="E715" s="1">
        <v>1536840725.1275301</v>
      </c>
      <c r="F715" s="1">
        <f t="shared" ref="F715" si="781">G715-E715-0.13</f>
        <v>-0.16129005432128907</v>
      </c>
      <c r="G715" s="1">
        <v>1536840725.09624</v>
      </c>
      <c r="H715">
        <f>I715-G715</f>
        <v>0.24871993064880371</v>
      </c>
      <c r="I715" s="1">
        <v>1536840725.34496</v>
      </c>
      <c r="K715">
        <f>I716-I715</f>
        <v>6.2000751495361328E-3</v>
      </c>
      <c r="M715" s="1">
        <f t="shared" ref="M715:M776" si="782">F715+H715</f>
        <v>8.7429876327514644E-2</v>
      </c>
      <c r="N715">
        <v>169</v>
      </c>
      <c r="O715" t="s">
        <v>12</v>
      </c>
    </row>
    <row r="716" spans="1:15" x14ac:dyDescent="0.45">
      <c r="B716">
        <v>2</v>
      </c>
      <c r="C716">
        <f>E717-E716</f>
        <v>2.0940065383911133E-2</v>
      </c>
      <c r="E716" s="1">
        <v>1536840725.4391899</v>
      </c>
      <c r="F716" s="1">
        <f t="shared" ref="F716" si="783">E716-G716+0.13</f>
        <v>0.24619997024536133</v>
      </c>
      <c r="G716" s="1">
        <v>1536840725.3229899</v>
      </c>
      <c r="H716">
        <f>G716-I716</f>
        <v>-2.8170108795166016E-2</v>
      </c>
      <c r="I716" s="1">
        <v>1536840725.35116</v>
      </c>
      <c r="M716" s="1">
        <f t="shared" si="782"/>
        <v>0.21802986145019532</v>
      </c>
      <c r="N716">
        <v>122</v>
      </c>
      <c r="O716" t="s">
        <v>13</v>
      </c>
    </row>
    <row r="717" spans="1:15" x14ac:dyDescent="0.45">
      <c r="B717">
        <v>3</v>
      </c>
      <c r="E717" s="1">
        <v>1536840725.46013</v>
      </c>
      <c r="F717" s="1">
        <f t="shared" ref="F717" si="784">G717-E717-0.13</f>
        <v>-0.16249001502990723</v>
      </c>
      <c r="G717" s="1">
        <v>1536840725.42764</v>
      </c>
      <c r="H717">
        <f>I717-G717</f>
        <v>0.25590991973876953</v>
      </c>
      <c r="I717" s="1">
        <v>1536840725.6835499</v>
      </c>
      <c r="K717">
        <f>I718-I717</f>
        <v>4.8590183258056641E-2</v>
      </c>
      <c r="M717" s="1">
        <f t="shared" si="782"/>
        <v>9.34199047088623E-2</v>
      </c>
      <c r="N717">
        <v>201</v>
      </c>
      <c r="O717" t="s">
        <v>12</v>
      </c>
    </row>
    <row r="718" spans="1:15" x14ac:dyDescent="0.45">
      <c r="B718">
        <v>4</v>
      </c>
      <c r="C718">
        <f>E719-E718</f>
        <v>0.15176987648010254</v>
      </c>
      <c r="E718" s="1">
        <v>1536840725.97667</v>
      </c>
      <c r="F718" s="1">
        <f t="shared" ref="F718" si="785">E718-G718+0.13</f>
        <v>0.17433012008666993</v>
      </c>
      <c r="G718" s="1">
        <v>1536840725.9323399</v>
      </c>
      <c r="H718">
        <f>G718-I718</f>
        <v>0.20019984245300293</v>
      </c>
      <c r="I718" s="1">
        <v>1536840725.7321401</v>
      </c>
      <c r="M718" s="1">
        <f t="shared" si="782"/>
        <v>0.37452996253967286</v>
      </c>
      <c r="N718">
        <v>616</v>
      </c>
      <c r="O718" t="s">
        <v>14</v>
      </c>
    </row>
    <row r="719" spans="1:15" x14ac:dyDescent="0.45">
      <c r="B719">
        <v>5</v>
      </c>
      <c r="E719" s="1">
        <v>1536840726.1284399</v>
      </c>
      <c r="F719" s="1">
        <f t="shared" ref="F719" si="786">G719-E719-0.13</f>
        <v>-0.16289985656738282</v>
      </c>
      <c r="G719" s="1">
        <v>1536840726.09554</v>
      </c>
      <c r="H719">
        <f>I719-G719</f>
        <v>0.39711999893188477</v>
      </c>
      <c r="I719" s="1">
        <v>1536840726.49266</v>
      </c>
      <c r="K719">
        <f>I720-I719</f>
        <v>9.0869903564453125E-2</v>
      </c>
      <c r="M719" s="1">
        <f t="shared" si="782"/>
        <v>0.23422014236450195</v>
      </c>
      <c r="N719">
        <v>438</v>
      </c>
      <c r="O719" t="s">
        <v>15</v>
      </c>
    </row>
    <row r="720" spans="1:15" x14ac:dyDescent="0.45">
      <c r="B720">
        <v>6</v>
      </c>
      <c r="C720">
        <f>E721-E720</f>
        <v>4.6010017395019531E-2</v>
      </c>
      <c r="E720" s="1">
        <v>1536840726.6680701</v>
      </c>
      <c r="F720" s="1">
        <f t="shared" ref="F720" si="787">E720-G720+0.13</f>
        <v>0.26056015968322754</v>
      </c>
      <c r="G720" s="1">
        <v>1536840726.5375099</v>
      </c>
      <c r="H720">
        <f>G720-I720</f>
        <v>-4.6020030975341797E-2</v>
      </c>
      <c r="I720" s="1">
        <v>1536840726.5835299</v>
      </c>
      <c r="M720" s="1">
        <f t="shared" si="782"/>
        <v>0.21454012870788575</v>
      </c>
      <c r="N720">
        <v>129</v>
      </c>
      <c r="O720" t="s">
        <v>16</v>
      </c>
    </row>
    <row r="721" spans="1:15" x14ac:dyDescent="0.45">
      <c r="B721">
        <v>7</v>
      </c>
      <c r="E721" s="1">
        <v>1536840726.7140801</v>
      </c>
      <c r="F721" s="1">
        <f t="shared" ref="F721" si="788">G721-E721-0.13</f>
        <v>-0.16291010856628418</v>
      </c>
      <c r="G721" s="1">
        <v>1536840726.68117</v>
      </c>
      <c r="H721">
        <f>I721-G721</f>
        <v>0.21831011772155762</v>
      </c>
      <c r="I721" s="1">
        <v>1536840726.8994801</v>
      </c>
      <c r="K721">
        <f>I722-I721</f>
        <v>0.13626980781555176</v>
      </c>
      <c r="M721" s="1">
        <f t="shared" si="782"/>
        <v>5.5400009155273433E-2</v>
      </c>
      <c r="N721">
        <v>113</v>
      </c>
      <c r="O721" t="s">
        <v>17</v>
      </c>
    </row>
    <row r="722" spans="1:15" x14ac:dyDescent="0.45">
      <c r="B722">
        <v>8</v>
      </c>
      <c r="E722" s="1">
        <v>1536840726.9921</v>
      </c>
      <c r="F722" s="1">
        <f t="shared" ref="F722" si="789">E722-G722+0.13</f>
        <v>0.17764008522033692</v>
      </c>
      <c r="G722" s="1">
        <v>1536840726.9444599</v>
      </c>
      <c r="H722">
        <f>G722-I722</f>
        <v>-9.1289997100830078E-2</v>
      </c>
      <c r="I722" s="1">
        <v>1536840727.0357499</v>
      </c>
      <c r="M722" s="1">
        <f t="shared" si="782"/>
        <v>8.635008811950684E-2</v>
      </c>
      <c r="N722">
        <v>104</v>
      </c>
      <c r="O722" t="s">
        <v>17</v>
      </c>
    </row>
    <row r="723" spans="1:15" x14ac:dyDescent="0.45">
      <c r="B723" t="s">
        <v>3</v>
      </c>
      <c r="C723">
        <f>C716+C718+C720</f>
        <v>0.2187199592590332</v>
      </c>
      <c r="F723">
        <f t="shared" ref="F723" si="790">SUM(F715:F722)</f>
        <v>0.20914030075073242</v>
      </c>
      <c r="H723">
        <f>SUM(H715:H722)</f>
        <v>1.1547796726226807</v>
      </c>
      <c r="K723">
        <f>K715+K717+K719+K721</f>
        <v>0.28192996978759766</v>
      </c>
      <c r="M723" t="s">
        <v>18</v>
      </c>
      <c r="N723" t="s">
        <v>10</v>
      </c>
      <c r="O723" t="s">
        <v>11</v>
      </c>
    </row>
    <row r="724" spans="1:15" x14ac:dyDescent="0.45">
      <c r="A724">
        <v>81</v>
      </c>
      <c r="B724">
        <v>1</v>
      </c>
      <c r="E724" s="1">
        <v>1536840731.26652</v>
      </c>
      <c r="F724" s="1">
        <f t="shared" ref="F724" si="791">G724-E724-0.13</f>
        <v>-0.16075003623962403</v>
      </c>
      <c r="G724" s="1">
        <v>1536840731.23577</v>
      </c>
      <c r="H724">
        <f>I724-G724</f>
        <v>0.25057005882263184</v>
      </c>
      <c r="I724" s="1">
        <v>1536840731.48634</v>
      </c>
      <c r="K724">
        <f>I725-I724</f>
        <v>6.4499378204345703E-3</v>
      </c>
      <c r="M724" s="1">
        <f t="shared" ref="M724:M726" si="792">F724+H724</f>
        <v>8.9820022583007808E-2</v>
      </c>
      <c r="N724" s="2">
        <v>169</v>
      </c>
      <c r="O724" s="2" t="s">
        <v>12</v>
      </c>
    </row>
    <row r="725" spans="1:15" x14ac:dyDescent="0.45">
      <c r="B725">
        <v>2</v>
      </c>
      <c r="C725">
        <f>E726-E725</f>
        <v>2.1600008010864258E-2</v>
      </c>
      <c r="E725" s="1">
        <v>1536840731.5833099</v>
      </c>
      <c r="F725" s="1">
        <f t="shared" ref="F725" si="793">E725-G725+0.13</f>
        <v>0.25019991874694825</v>
      </c>
      <c r="G725" s="1">
        <v>1536840731.46311</v>
      </c>
      <c r="H725">
        <f>G725-I725</f>
        <v>-2.9680013656616211E-2</v>
      </c>
      <c r="I725" s="1">
        <v>1536840731.49279</v>
      </c>
      <c r="M725" s="1">
        <f t="shared" si="792"/>
        <v>0.22051990509033204</v>
      </c>
      <c r="N725" s="2">
        <v>122</v>
      </c>
      <c r="O725" s="2" t="s">
        <v>13</v>
      </c>
    </row>
    <row r="726" spans="1:15" x14ac:dyDescent="0.45">
      <c r="B726">
        <v>3</v>
      </c>
      <c r="E726" s="1">
        <v>1536840731.6049099</v>
      </c>
      <c r="F726" s="1">
        <f t="shared" ref="F726" si="794">G726-E726-0.13</f>
        <v>-0.1657198715209961</v>
      </c>
      <c r="G726" s="1">
        <v>1536840731.56919</v>
      </c>
      <c r="H726">
        <f>I726-G726</f>
        <v>0.25574994087219238</v>
      </c>
      <c r="I726" s="1">
        <v>1536840731.82494</v>
      </c>
      <c r="K726">
        <f>I727-I726</f>
        <v>4.9250125885009766E-2</v>
      </c>
      <c r="M726" s="1">
        <f t="shared" si="792"/>
        <v>9.0030069351196285E-2</v>
      </c>
      <c r="N726" s="2">
        <v>201</v>
      </c>
      <c r="O726" s="2" t="s">
        <v>12</v>
      </c>
    </row>
    <row r="727" spans="1:15" x14ac:dyDescent="0.45">
      <c r="B727">
        <v>4</v>
      </c>
      <c r="C727">
        <f>E728-E727</f>
        <v>0.15363001823425293</v>
      </c>
      <c r="E727" s="1">
        <v>1536840732.19979</v>
      </c>
      <c r="F727" s="1">
        <f t="shared" ref="F727" si="795">E727-G727+0.13</f>
        <v>0.25800002098083497</v>
      </c>
      <c r="G727" s="1">
        <v>1536840732.07179</v>
      </c>
      <c r="H727">
        <f>G727-I727</f>
        <v>0.19759988784790039</v>
      </c>
      <c r="I727" s="1">
        <v>1536840731.8741901</v>
      </c>
      <c r="M727" s="1">
        <f t="shared" si="782"/>
        <v>0.45559990882873536</v>
      </c>
      <c r="N727" s="2">
        <v>616</v>
      </c>
      <c r="O727" s="2" t="s">
        <v>14</v>
      </c>
    </row>
    <row r="728" spans="1:15" x14ac:dyDescent="0.45">
      <c r="B728">
        <v>5</v>
      </c>
      <c r="E728" s="1">
        <v>1536840732.35342</v>
      </c>
      <c r="F728" s="1">
        <f t="shared" ref="F728" si="796">G728-E728-0.13</f>
        <v>-0.16586006164550782</v>
      </c>
      <c r="G728" s="1">
        <v>1536840732.31756</v>
      </c>
      <c r="H728">
        <f>I728-G728</f>
        <v>0.38399004936218262</v>
      </c>
      <c r="I728" s="1">
        <v>1536840732.70155</v>
      </c>
      <c r="K728">
        <f>I729-I728</f>
        <v>9.3169927597045898E-2</v>
      </c>
      <c r="M728" s="1">
        <f t="shared" si="782"/>
        <v>0.2181299877166748</v>
      </c>
      <c r="N728" s="2">
        <v>438</v>
      </c>
      <c r="O728" s="2" t="s">
        <v>15</v>
      </c>
    </row>
    <row r="729" spans="1:15" x14ac:dyDescent="0.45">
      <c r="B729">
        <v>6</v>
      </c>
      <c r="C729">
        <f>E730-E729</f>
        <v>3.8539886474609375E-2</v>
      </c>
      <c r="E729" s="1">
        <v>1536840732.81215</v>
      </c>
      <c r="F729" s="1">
        <f t="shared" ref="F729" si="797">E729-G729+0.13</f>
        <v>0.19772994995117188</v>
      </c>
      <c r="G729" s="1">
        <v>1536840732.7444201</v>
      </c>
      <c r="H729">
        <f>G729-I729</f>
        <v>-5.0299882888793945E-2</v>
      </c>
      <c r="I729" s="1">
        <v>1536840732.7947199</v>
      </c>
      <c r="M729" s="1">
        <f t="shared" si="782"/>
        <v>0.14743006706237793</v>
      </c>
      <c r="N729" s="2">
        <v>129</v>
      </c>
      <c r="O729" s="2" t="s">
        <v>16</v>
      </c>
    </row>
    <row r="730" spans="1:15" x14ac:dyDescent="0.45">
      <c r="B730">
        <v>7</v>
      </c>
      <c r="E730" s="1">
        <v>1536840732.8506899</v>
      </c>
      <c r="F730" s="1">
        <f t="shared" ref="F730" si="798">G730-E730-0.13</f>
        <v>-0.16634977340698243</v>
      </c>
      <c r="G730" s="1">
        <v>1536840732.8143401</v>
      </c>
      <c r="H730">
        <f>I730-G730</f>
        <v>0.22651982307434082</v>
      </c>
      <c r="I730" s="1">
        <v>1536840733.0408599</v>
      </c>
      <c r="K730">
        <f>I731-I730</f>
        <v>0.14362001419067383</v>
      </c>
      <c r="M730" s="1">
        <f t="shared" si="782"/>
        <v>6.0170049667358394E-2</v>
      </c>
      <c r="N730" s="2">
        <v>113</v>
      </c>
      <c r="O730" s="2" t="s">
        <v>17</v>
      </c>
    </row>
    <row r="731" spans="1:15" x14ac:dyDescent="0.45">
      <c r="B731">
        <v>8</v>
      </c>
      <c r="E731" s="1">
        <v>1536840733.2243099</v>
      </c>
      <c r="F731" s="1">
        <f t="shared" ref="F731" si="799">E731-G731+0.13</f>
        <v>0.2704099464416504</v>
      </c>
      <c r="G731" s="1">
        <v>1536840733.0839</v>
      </c>
      <c r="H731">
        <f>G731-I731</f>
        <v>-0.10057997703552246</v>
      </c>
      <c r="I731" s="1">
        <v>1536840733.18448</v>
      </c>
      <c r="M731" s="1">
        <f t="shared" si="782"/>
        <v>0.16982996940612793</v>
      </c>
      <c r="N731" s="2">
        <v>104</v>
      </c>
      <c r="O731" s="2" t="s">
        <v>17</v>
      </c>
    </row>
    <row r="732" spans="1:15" x14ac:dyDescent="0.45">
      <c r="B732" t="s">
        <v>3</v>
      </c>
      <c r="C732">
        <f>C725+C727+C729</f>
        <v>0.21376991271972656</v>
      </c>
      <c r="F732">
        <f t="shared" ref="F732" si="800">SUM(F724:F731)</f>
        <v>0.31766009330749512</v>
      </c>
      <c r="H732">
        <f>SUM(H724:H731)</f>
        <v>1.1338698863983154</v>
      </c>
      <c r="K732">
        <f>K724+K726+K728+K730</f>
        <v>0.29249000549316406</v>
      </c>
      <c r="M732" t="s">
        <v>18</v>
      </c>
      <c r="N732" s="2" t="s">
        <v>10</v>
      </c>
      <c r="O732" s="2" t="s">
        <v>11</v>
      </c>
    </row>
    <row r="733" spans="1:15" x14ac:dyDescent="0.45">
      <c r="A733">
        <v>82</v>
      </c>
      <c r="B733">
        <v>1</v>
      </c>
      <c r="E733" s="1">
        <v>1536840736.1805999</v>
      </c>
      <c r="F733" s="1">
        <f t="shared" ref="F733" si="801">G733-E733-0.13</f>
        <v>-0.16225994110107422</v>
      </c>
      <c r="G733" s="1">
        <v>1536840736.14834</v>
      </c>
      <c r="H733">
        <f>I733-G733</f>
        <v>0.26462006568908691</v>
      </c>
      <c r="I733" s="1">
        <v>1536840736.4129601</v>
      </c>
      <c r="K733">
        <f>I734-I733</f>
        <v>6.3898563385009766E-3</v>
      </c>
      <c r="M733" s="1">
        <f t="shared" ref="M733:M735" si="802">F733+H733</f>
        <v>0.10236012458801269</v>
      </c>
      <c r="N733">
        <v>169</v>
      </c>
      <c r="O733" t="s">
        <v>12</v>
      </c>
    </row>
    <row r="734" spans="1:15" x14ac:dyDescent="0.45">
      <c r="B734">
        <v>2</v>
      </c>
      <c r="C734">
        <f>E735-E734</f>
        <v>2.8129816055297852E-2</v>
      </c>
      <c r="E734" s="1">
        <v>1536840736.4986701</v>
      </c>
      <c r="F734" s="1">
        <f t="shared" ref="F734" si="803">E734-G734+0.13</f>
        <v>0.24118006706237793</v>
      </c>
      <c r="G734" s="1">
        <v>1536840736.38749</v>
      </c>
      <c r="H734">
        <f>G734-I734</f>
        <v>-3.1859874725341797E-2</v>
      </c>
      <c r="I734" s="1">
        <v>1536840736.4193499</v>
      </c>
      <c r="M734" s="1">
        <f t="shared" si="802"/>
        <v>0.20932019233703614</v>
      </c>
      <c r="N734">
        <v>122</v>
      </c>
      <c r="O734" t="s">
        <v>13</v>
      </c>
    </row>
    <row r="735" spans="1:15" x14ac:dyDescent="0.45">
      <c r="B735">
        <v>3</v>
      </c>
      <c r="E735" s="1">
        <v>1536840736.5267999</v>
      </c>
      <c r="F735" s="1">
        <f t="shared" ref="F735" si="804">G735-E735-0.13</f>
        <v>-0.16761982917785645</v>
      </c>
      <c r="G735" s="1">
        <v>1536840736.4891801</v>
      </c>
      <c r="H735">
        <f>I735-G735</f>
        <v>0.26183986663818359</v>
      </c>
      <c r="I735" s="1">
        <v>1536840736.75102</v>
      </c>
      <c r="K735">
        <f>I736-I735</f>
        <v>4.7680139541625977E-2</v>
      </c>
      <c r="M735" s="1">
        <f t="shared" si="802"/>
        <v>9.4220037460327144E-2</v>
      </c>
      <c r="N735">
        <v>201</v>
      </c>
      <c r="O735" t="s">
        <v>12</v>
      </c>
    </row>
    <row r="736" spans="1:15" x14ac:dyDescent="0.45">
      <c r="B736">
        <v>4</v>
      </c>
      <c r="C736">
        <f>E737-E736</f>
        <v>0.15207004547119141</v>
      </c>
      <c r="E736" s="1">
        <v>1536840737.21717</v>
      </c>
      <c r="F736" s="1">
        <f t="shared" ref="F736" si="805">E736-G736+0.13</f>
        <v>0.28489006042480469</v>
      </c>
      <c r="G736" s="1">
        <v>1536840737.0622799</v>
      </c>
      <c r="H736">
        <f>G736-I736</f>
        <v>0.2635798454284668</v>
      </c>
      <c r="I736" s="1">
        <v>1536840736.7987001</v>
      </c>
      <c r="M736" s="1">
        <f t="shared" si="782"/>
        <v>0.54846990585327149</v>
      </c>
      <c r="N736">
        <v>616</v>
      </c>
      <c r="O736" t="s">
        <v>14</v>
      </c>
    </row>
    <row r="737" spans="1:15" x14ac:dyDescent="0.45">
      <c r="B737">
        <v>5</v>
      </c>
      <c r="E737" s="1">
        <v>1536840737.36924</v>
      </c>
      <c r="F737" s="1">
        <f t="shared" ref="F737" si="806">G737-E737-0.13</f>
        <v>-0.16855013847351075</v>
      </c>
      <c r="G737" s="1">
        <v>1536840737.3306899</v>
      </c>
      <c r="H737">
        <f>I737-G737</f>
        <v>0.43246006965637207</v>
      </c>
      <c r="I737" s="1">
        <v>1536840737.76315</v>
      </c>
      <c r="K737">
        <f>I738-I737</f>
        <v>9.2839956283569336E-2</v>
      </c>
      <c r="M737" s="1">
        <f t="shared" si="782"/>
        <v>0.26390993118286132</v>
      </c>
      <c r="N737">
        <v>438</v>
      </c>
      <c r="O737" t="s">
        <v>15</v>
      </c>
    </row>
    <row r="738" spans="1:15" x14ac:dyDescent="0.45">
      <c r="B738">
        <v>6</v>
      </c>
      <c r="C738">
        <f>E739-E738</f>
        <v>4.2380094528198242E-2</v>
      </c>
      <c r="E738" s="1">
        <v>1536840737.93274</v>
      </c>
      <c r="F738" s="1">
        <f t="shared" ref="F738" si="807">E738-G738+0.13</f>
        <v>0.25834000587463379</v>
      </c>
      <c r="G738" s="1">
        <v>1536840737.8044</v>
      </c>
      <c r="H738">
        <f>G738-I738</f>
        <v>-5.15899658203125E-2</v>
      </c>
      <c r="I738" s="1">
        <v>1536840737.8559899</v>
      </c>
      <c r="M738" s="1">
        <f t="shared" si="782"/>
        <v>0.20675004005432129</v>
      </c>
      <c r="N738">
        <v>129</v>
      </c>
      <c r="O738" t="s">
        <v>16</v>
      </c>
    </row>
    <row r="739" spans="1:15" x14ac:dyDescent="0.45">
      <c r="B739">
        <v>7</v>
      </c>
      <c r="E739" s="1">
        <v>1536840737.9751201</v>
      </c>
      <c r="F739" s="1">
        <f t="shared" ref="F739" si="808">G739-E739-0.13</f>
        <v>-0.16858995437622071</v>
      </c>
      <c r="G739" s="1">
        <v>1536840737.9365301</v>
      </c>
      <c r="H739">
        <f>I739-G739</f>
        <v>0.16592979431152344</v>
      </c>
      <c r="I739" s="1">
        <v>1536840738.1024599</v>
      </c>
      <c r="K739">
        <f>I740-I739</f>
        <v>0.13527011871337891</v>
      </c>
      <c r="M739" s="1">
        <f t="shared" si="782"/>
        <v>-2.6601600646972701E-3</v>
      </c>
      <c r="N739">
        <v>113</v>
      </c>
      <c r="O739" t="s">
        <v>17</v>
      </c>
    </row>
    <row r="740" spans="1:15" x14ac:dyDescent="0.45">
      <c r="B740">
        <v>8</v>
      </c>
      <c r="E740" s="1">
        <v>1536840738.2413399</v>
      </c>
      <c r="F740" s="1">
        <f t="shared" ref="F740" si="809">E740-G740+0.13</f>
        <v>0.22745001792907715</v>
      </c>
      <c r="G740" s="1">
        <v>1536840738.1438899</v>
      </c>
      <c r="H740">
        <f>G740-I740</f>
        <v>-9.3840122222900391E-2</v>
      </c>
      <c r="I740" s="1">
        <v>1536840738.23773</v>
      </c>
      <c r="M740" s="1">
        <f t="shared" si="782"/>
        <v>0.13360989570617676</v>
      </c>
      <c r="N740">
        <v>104</v>
      </c>
      <c r="O740" t="s">
        <v>17</v>
      </c>
    </row>
    <row r="741" spans="1:15" x14ac:dyDescent="0.45">
      <c r="B741" t="s">
        <v>3</v>
      </c>
      <c r="C741">
        <f>C734+C736+C738</f>
        <v>0.2225799560546875</v>
      </c>
      <c r="F741">
        <f t="shared" ref="F741" si="810">SUM(F733:F740)</f>
        <v>0.34484028816223145</v>
      </c>
      <c r="H741">
        <f>SUM(H733:H740)</f>
        <v>1.2111396789550781</v>
      </c>
      <c r="K741">
        <f>K733+K735+K737+K739</f>
        <v>0.2821800708770752</v>
      </c>
      <c r="M741" t="s">
        <v>18</v>
      </c>
      <c r="N741" t="s">
        <v>10</v>
      </c>
      <c r="O741" t="s">
        <v>11</v>
      </c>
    </row>
    <row r="742" spans="1:15" x14ac:dyDescent="0.45">
      <c r="A742">
        <v>83</v>
      </c>
      <c r="B742">
        <v>1</v>
      </c>
      <c r="E742" s="1">
        <v>1536840742.22562</v>
      </c>
      <c r="F742" s="1">
        <f t="shared" ref="F742" si="811">G742-E742-0.13</f>
        <v>-0.16786993026733399</v>
      </c>
      <c r="G742" s="1">
        <v>1536840742.1877501</v>
      </c>
      <c r="H742">
        <f>I742-G742</f>
        <v>0.29916000366210938</v>
      </c>
      <c r="I742" s="1">
        <v>1536840742.4869101</v>
      </c>
      <c r="K742">
        <f>I743-I742</f>
        <v>9.4199180603027344E-3</v>
      </c>
      <c r="M742" s="1">
        <f t="shared" ref="M742:M744" si="812">F742+H742</f>
        <v>0.13129007339477539</v>
      </c>
      <c r="N742" s="2">
        <v>169</v>
      </c>
      <c r="O742" s="2" t="s">
        <v>12</v>
      </c>
    </row>
    <row r="743" spans="1:15" x14ac:dyDescent="0.45">
      <c r="B743">
        <v>2</v>
      </c>
      <c r="C743">
        <f>E744-E743</f>
        <v>2.472996711730957E-2</v>
      </c>
      <c r="E743" s="1">
        <v>1536840742.54107</v>
      </c>
      <c r="F743" s="1">
        <f t="shared" ref="F743" si="813">E743-G743+0.13</f>
        <v>0.21160996437072754</v>
      </c>
      <c r="G743" s="1">
        <v>1536840742.45946</v>
      </c>
      <c r="H743">
        <f>G743-I743</f>
        <v>-3.6870002746582031E-2</v>
      </c>
      <c r="I743" s="1">
        <v>1536840742.49633</v>
      </c>
      <c r="M743" s="1">
        <f t="shared" si="812"/>
        <v>0.17473996162414551</v>
      </c>
      <c r="N743" s="2">
        <v>122</v>
      </c>
      <c r="O743" s="2" t="s">
        <v>13</v>
      </c>
    </row>
    <row r="744" spans="1:15" x14ac:dyDescent="0.45">
      <c r="B744">
        <v>3</v>
      </c>
      <c r="E744" s="1">
        <v>1536840742.5658</v>
      </c>
      <c r="F744" s="1">
        <f t="shared" ref="F744" si="814">G744-E744-0.13</f>
        <v>-0.17120993614196778</v>
      </c>
      <c r="G744" s="1">
        <v>1536840742.52459</v>
      </c>
      <c r="H744">
        <f>I744-G744</f>
        <v>0.3009800910949707</v>
      </c>
      <c r="I744" s="1">
        <v>1536840742.8255701</v>
      </c>
      <c r="K744">
        <f>I745-I744</f>
        <v>5.1909923553466797E-2</v>
      </c>
      <c r="M744" s="1">
        <f t="shared" si="812"/>
        <v>0.12977015495300293</v>
      </c>
      <c r="N744" s="2">
        <v>201</v>
      </c>
      <c r="O744" s="2" t="s">
        <v>12</v>
      </c>
    </row>
    <row r="745" spans="1:15" x14ac:dyDescent="0.45">
      <c r="B745">
        <v>4</v>
      </c>
      <c r="C745">
        <f>E746-E745</f>
        <v>0.14899015426635742</v>
      </c>
      <c r="E745" s="1">
        <v>1536840743.2583699</v>
      </c>
      <c r="F745" s="1">
        <f t="shared" ref="F745" si="815">E745-G745+0.13</f>
        <v>0.25409996986389161</v>
      </c>
      <c r="G745" s="1">
        <v>1536840743.13427</v>
      </c>
      <c r="H745">
        <f>G745-I745</f>
        <v>0.2567899227142334</v>
      </c>
      <c r="I745" s="1">
        <v>1536840742.87748</v>
      </c>
      <c r="M745" s="1">
        <f t="shared" si="782"/>
        <v>0.510889892578125</v>
      </c>
      <c r="N745" s="2">
        <v>616</v>
      </c>
      <c r="O745" s="2" t="s">
        <v>14</v>
      </c>
    </row>
    <row r="746" spans="1:15" x14ac:dyDescent="0.45">
      <c r="B746">
        <v>5</v>
      </c>
      <c r="E746" s="1">
        <v>1536840743.4073601</v>
      </c>
      <c r="F746" s="1">
        <f t="shared" ref="F746" si="816">G746-E746-0.13</f>
        <v>-0.17127001762390137</v>
      </c>
      <c r="G746" s="1">
        <v>1536840743.3660901</v>
      </c>
      <c r="H746">
        <f>I746-G746</f>
        <v>0.40350985527038574</v>
      </c>
      <c r="I746" s="1">
        <v>1536840743.7695999</v>
      </c>
      <c r="K746">
        <f>I747-I746</f>
        <v>8.5340023040771484E-2</v>
      </c>
      <c r="M746" s="1">
        <f t="shared" si="782"/>
        <v>0.23223983764648437</v>
      </c>
      <c r="N746" s="2">
        <v>438</v>
      </c>
      <c r="O746" s="2" t="s">
        <v>15</v>
      </c>
    </row>
    <row r="747" spans="1:15" x14ac:dyDescent="0.45">
      <c r="B747">
        <v>6</v>
      </c>
      <c r="C747">
        <f>E748-E747</f>
        <v>4.1680097579956055E-2</v>
      </c>
      <c r="E747" s="1">
        <v>1536840743.9734499</v>
      </c>
      <c r="F747" s="1">
        <f t="shared" ref="F747" si="817">E747-G747+0.13</f>
        <v>0.227059965133667</v>
      </c>
      <c r="G747" s="1">
        <v>1536840743.87639</v>
      </c>
      <c r="H747">
        <f>G747-I747</f>
        <v>2.1450042724609375E-2</v>
      </c>
      <c r="I747" s="1">
        <v>1536840743.8549399</v>
      </c>
      <c r="M747" s="1">
        <f t="shared" si="782"/>
        <v>0.24851000785827637</v>
      </c>
      <c r="N747" s="2">
        <v>129</v>
      </c>
      <c r="O747" s="2" t="s">
        <v>16</v>
      </c>
    </row>
    <row r="748" spans="1:15" x14ac:dyDescent="0.45">
      <c r="B748">
        <v>7</v>
      </c>
      <c r="E748" s="1">
        <v>1536840744.01513</v>
      </c>
      <c r="F748" s="1">
        <f t="shared" ref="F748" si="818">G748-E748-0.13</f>
        <v>-0.17159998893737793</v>
      </c>
      <c r="G748" s="1">
        <v>1536840743.9735301</v>
      </c>
      <c r="H748">
        <f>I748-G748</f>
        <v>0.20287990570068359</v>
      </c>
      <c r="I748" s="1">
        <v>1536840744.17641</v>
      </c>
      <c r="K748">
        <f>I749-I748</f>
        <v>0.13685011863708496</v>
      </c>
      <c r="M748" s="1">
        <f t="shared" si="782"/>
        <v>3.127991676330566E-2</v>
      </c>
      <c r="N748" s="2">
        <v>113</v>
      </c>
      <c r="O748" s="2" t="s">
        <v>17</v>
      </c>
    </row>
    <row r="749" spans="1:15" x14ac:dyDescent="0.45">
      <c r="B749">
        <v>8</v>
      </c>
      <c r="E749" s="1">
        <v>1536840744.3850901</v>
      </c>
      <c r="F749" s="1">
        <f t="shared" ref="F749" si="819">E749-G749+0.13</f>
        <v>0.29933012008666993</v>
      </c>
      <c r="G749" s="1">
        <v>1536840744.21576</v>
      </c>
      <c r="H749">
        <f>G749-I749</f>
        <v>-9.7500085830688477E-2</v>
      </c>
      <c r="I749" s="1">
        <v>1536840744.3132601</v>
      </c>
      <c r="M749" s="1">
        <f t="shared" si="782"/>
        <v>0.20183003425598145</v>
      </c>
      <c r="N749" s="2">
        <v>104</v>
      </c>
      <c r="O749" s="2" t="s">
        <v>17</v>
      </c>
    </row>
    <row r="750" spans="1:15" x14ac:dyDescent="0.45">
      <c r="B750" t="s">
        <v>3</v>
      </c>
      <c r="C750">
        <f>C743+C745+C747</f>
        <v>0.21540021896362305</v>
      </c>
      <c r="F750">
        <f t="shared" ref="F750" si="820">SUM(F742:F749)</f>
        <v>0.310150146484375</v>
      </c>
      <c r="H750">
        <f>SUM(H742:H749)</f>
        <v>1.3503997325897217</v>
      </c>
      <c r="K750">
        <f>K742+K744+K746+K748</f>
        <v>0.28351998329162598</v>
      </c>
      <c r="M750" t="s">
        <v>18</v>
      </c>
      <c r="N750" s="2" t="s">
        <v>10</v>
      </c>
      <c r="O750" s="2" t="s">
        <v>11</v>
      </c>
    </row>
    <row r="751" spans="1:15" x14ac:dyDescent="0.45">
      <c r="A751">
        <v>84</v>
      </c>
      <c r="B751">
        <v>1</v>
      </c>
      <c r="E751" s="1">
        <v>1536840747.04301</v>
      </c>
      <c r="F751" s="1">
        <f t="shared" ref="F751" si="821">G751-E751-0.13</f>
        <v>-0.17275989532470704</v>
      </c>
      <c r="G751" s="1">
        <v>1536840747.0002501</v>
      </c>
      <c r="H751">
        <f>I751-G751</f>
        <v>0.2783198356628418</v>
      </c>
      <c r="I751" s="1">
        <v>1536840747.2785699</v>
      </c>
      <c r="K751">
        <f>I752-I751</f>
        <v>6.4699649810791016E-3</v>
      </c>
      <c r="M751" s="1">
        <f t="shared" ref="M751:M753" si="822">F751+H751</f>
        <v>0.10555994033813476</v>
      </c>
      <c r="N751">
        <v>169</v>
      </c>
      <c r="O751" t="s">
        <v>12</v>
      </c>
    </row>
    <row r="752" spans="1:15" x14ac:dyDescent="0.45">
      <c r="B752">
        <v>2</v>
      </c>
      <c r="C752">
        <f>E753-E752</f>
        <v>3.7999153137207031E-3</v>
      </c>
      <c r="E752" s="1">
        <v>1536840747.3534</v>
      </c>
      <c r="F752" s="1">
        <f t="shared" ref="F752" si="823">E752-G752+0.13</f>
        <v>0.2337900447845459</v>
      </c>
      <c r="G752" s="1">
        <v>1536840747.2496099</v>
      </c>
      <c r="H752">
        <f>G752-I752</f>
        <v>-3.5429954528808594E-2</v>
      </c>
      <c r="I752" s="1">
        <v>1536840747.2850399</v>
      </c>
      <c r="M752" s="1">
        <f t="shared" si="822"/>
        <v>0.19836009025573731</v>
      </c>
      <c r="N752">
        <v>122</v>
      </c>
      <c r="O752" t="s">
        <v>13</v>
      </c>
    </row>
    <row r="753" spans="1:15" x14ac:dyDescent="0.45">
      <c r="B753">
        <v>3</v>
      </c>
      <c r="E753" s="1">
        <v>1536840747.3571999</v>
      </c>
      <c r="F753" s="1">
        <f t="shared" ref="F753" si="824">G753-E753-0.13</f>
        <v>-0.17330992698669434</v>
      </c>
      <c r="G753" s="1">
        <v>1536840747.31389</v>
      </c>
      <c r="H753">
        <f>I753-G753</f>
        <v>0.30329012870788574</v>
      </c>
      <c r="I753" s="1">
        <v>1536840747.6171801</v>
      </c>
      <c r="K753">
        <f>I754-I753</f>
        <v>4.6919822692871094E-2</v>
      </c>
      <c r="M753" s="1">
        <f t="shared" si="822"/>
        <v>0.1299802017211914</v>
      </c>
      <c r="N753">
        <v>201</v>
      </c>
      <c r="O753" t="s">
        <v>12</v>
      </c>
    </row>
    <row r="754" spans="1:15" x14ac:dyDescent="0.45">
      <c r="B754">
        <v>4</v>
      </c>
      <c r="C754">
        <f>E755-E754</f>
        <v>0.15753006935119629</v>
      </c>
      <c r="E754" s="1">
        <v>1536840747.96649</v>
      </c>
      <c r="F754" s="1">
        <f t="shared" ref="F754" si="825">E754-G754+0.13</f>
        <v>0.23753011703491211</v>
      </c>
      <c r="G754" s="1">
        <v>1536840747.8589599</v>
      </c>
      <c r="H754">
        <f>G754-I754</f>
        <v>0.19485998153686523</v>
      </c>
      <c r="I754" s="1">
        <v>1536840747.6640999</v>
      </c>
      <c r="M754" s="1">
        <f t="shared" si="782"/>
        <v>0.43239009857177735</v>
      </c>
      <c r="N754">
        <v>616</v>
      </c>
      <c r="O754" t="s">
        <v>14</v>
      </c>
    </row>
    <row r="755" spans="1:15" x14ac:dyDescent="0.45">
      <c r="B755">
        <v>5</v>
      </c>
      <c r="E755" s="1">
        <v>1536840748.1240201</v>
      </c>
      <c r="F755" s="1">
        <f t="shared" ref="F755" si="826">G755-E755-0.13</f>
        <v>-0.17230999946594239</v>
      </c>
      <c r="G755" s="1">
        <v>1536840748.0817101</v>
      </c>
      <c r="H755">
        <f>I755-G755</f>
        <v>0.41275978088378906</v>
      </c>
      <c r="I755" s="1">
        <v>1536840748.4944699</v>
      </c>
      <c r="K755">
        <f>I756-I755</f>
        <v>9.0260028839111328E-2</v>
      </c>
      <c r="M755" s="1">
        <f t="shared" si="782"/>
        <v>0.24044978141784668</v>
      </c>
      <c r="N755">
        <v>438</v>
      </c>
      <c r="O755" t="s">
        <v>15</v>
      </c>
    </row>
    <row r="756" spans="1:15" x14ac:dyDescent="0.45">
      <c r="B756">
        <v>6</v>
      </c>
      <c r="C756">
        <f>E757-E756</f>
        <v>4.3529987335205078E-2</v>
      </c>
      <c r="E756" s="1">
        <v>1536840748.6860499</v>
      </c>
      <c r="F756" s="1">
        <f t="shared" ref="F756" si="827">E756-G756+0.13</f>
        <v>0.28446996688842774</v>
      </c>
      <c r="G756" s="1">
        <v>1536840748.53158</v>
      </c>
      <c r="H756">
        <f>G756-I756</f>
        <v>-5.3149938583374023E-2</v>
      </c>
      <c r="I756" s="1">
        <v>1536840748.5847299</v>
      </c>
      <c r="M756" s="1">
        <f t="shared" si="782"/>
        <v>0.23132002830505372</v>
      </c>
      <c r="N756">
        <v>129</v>
      </c>
      <c r="O756" t="s">
        <v>16</v>
      </c>
    </row>
    <row r="757" spans="1:15" x14ac:dyDescent="0.45">
      <c r="B757">
        <v>7</v>
      </c>
      <c r="E757" s="1">
        <v>1536840748.7295799</v>
      </c>
      <c r="F757" s="1">
        <f t="shared" ref="F757" si="828">G757-E757-0.13</f>
        <v>-0.16692984580993653</v>
      </c>
      <c r="G757" s="1">
        <v>1536840748.6926501</v>
      </c>
      <c r="H757">
        <f>I757-G757</f>
        <v>0.20795989036560059</v>
      </c>
      <c r="I757" s="1">
        <v>1536840748.90061</v>
      </c>
      <c r="K757">
        <f>I758-I757</f>
        <v>0.13564014434814453</v>
      </c>
      <c r="M757" s="1">
        <f t="shared" si="782"/>
        <v>4.1030044555664058E-2</v>
      </c>
      <c r="N757">
        <v>113</v>
      </c>
      <c r="O757" t="s">
        <v>17</v>
      </c>
    </row>
    <row r="758" spans="1:15" x14ac:dyDescent="0.45">
      <c r="B758">
        <v>8</v>
      </c>
      <c r="E758" s="1">
        <v>1536840749.0950699</v>
      </c>
      <c r="F758" s="1">
        <f t="shared" ref="F758" si="829">E758-G758+0.13</f>
        <v>0.28654993057250977</v>
      </c>
      <c r="G758" s="1">
        <v>1536840748.93852</v>
      </c>
      <c r="H758">
        <f>G758-I758</f>
        <v>-9.7730159759521484E-2</v>
      </c>
      <c r="I758" s="1">
        <v>1536840749.0362501</v>
      </c>
      <c r="M758" s="1">
        <f t="shared" si="782"/>
        <v>0.18881977081298829</v>
      </c>
      <c r="N758">
        <v>104</v>
      </c>
      <c r="O758" t="s">
        <v>17</v>
      </c>
    </row>
    <row r="759" spans="1:15" x14ac:dyDescent="0.45">
      <c r="B759" t="s">
        <v>3</v>
      </c>
      <c r="C759">
        <f>C752+C754+C756</f>
        <v>0.20485997200012207</v>
      </c>
      <c r="F759">
        <f t="shared" ref="F759" si="830">SUM(F751:F758)</f>
        <v>0.35703039169311523</v>
      </c>
      <c r="H759">
        <f>SUM(H751:H758)</f>
        <v>1.2108795642852783</v>
      </c>
      <c r="K759">
        <f>K751+K753+K755+K757</f>
        <v>0.27928996086120605</v>
      </c>
      <c r="M759" t="s">
        <v>18</v>
      </c>
      <c r="N759" t="s">
        <v>10</v>
      </c>
      <c r="O759" t="s">
        <v>11</v>
      </c>
    </row>
    <row r="760" spans="1:15" x14ac:dyDescent="0.45">
      <c r="A760">
        <v>85</v>
      </c>
      <c r="B760">
        <v>1</v>
      </c>
      <c r="E760" s="1">
        <v>1536840752.6854701</v>
      </c>
      <c r="F760" s="1">
        <f t="shared" ref="F760" si="831">G760-E760-0.13</f>
        <v>-0.1680401611328125</v>
      </c>
      <c r="G760" s="1">
        <v>1536840752.6474299</v>
      </c>
      <c r="H760">
        <f>I760-G760</f>
        <v>0.30020999908447266</v>
      </c>
      <c r="I760" s="1">
        <v>1536840752.9476399</v>
      </c>
      <c r="K760">
        <f>I761-I760</f>
        <v>6.6699981689453125E-3</v>
      </c>
      <c r="M760" s="1">
        <f t="shared" ref="M760:M762" si="832">F760+H760</f>
        <v>0.13216983795166015</v>
      </c>
      <c r="N760" s="2">
        <v>169</v>
      </c>
      <c r="O760" s="2" t="s">
        <v>12</v>
      </c>
    </row>
    <row r="761" spans="1:15" x14ac:dyDescent="0.45">
      <c r="B761">
        <v>2</v>
      </c>
      <c r="C761">
        <f>E762-E761</f>
        <v>2.7100086212158203E-2</v>
      </c>
      <c r="E761" s="1">
        <v>1536840753.08798</v>
      </c>
      <c r="F761" s="1">
        <f t="shared" ref="F761" si="833">E761-G761+0.13</f>
        <v>0.30121005058288575</v>
      </c>
      <c r="G761" s="1">
        <v>1536840752.91677</v>
      </c>
      <c r="H761">
        <f>G761-I761</f>
        <v>-3.7539958953857422E-2</v>
      </c>
      <c r="I761" s="1">
        <v>1536840752.9543099</v>
      </c>
      <c r="M761" s="1">
        <f t="shared" si="832"/>
        <v>0.26367009162902832</v>
      </c>
      <c r="N761" s="2">
        <v>122</v>
      </c>
      <c r="O761" s="2" t="s">
        <v>13</v>
      </c>
    </row>
    <row r="762" spans="1:15" x14ac:dyDescent="0.45">
      <c r="B762">
        <v>3</v>
      </c>
      <c r="E762" s="1">
        <v>1536840753.1150801</v>
      </c>
      <c r="F762" s="1">
        <f t="shared" ref="F762" si="834">G762-E762-0.13</f>
        <v>-0.17648017883300782</v>
      </c>
      <c r="G762" s="1">
        <v>1536840753.0685999</v>
      </c>
      <c r="H762">
        <f>I762-G762</f>
        <v>0.28514003753662109</v>
      </c>
      <c r="I762" s="1">
        <v>1536840753.35374</v>
      </c>
      <c r="K762">
        <f>I763-I762</f>
        <v>4.7970056533813477E-2</v>
      </c>
      <c r="M762" s="1">
        <f t="shared" si="832"/>
        <v>0.10865985870361328</v>
      </c>
      <c r="N762" s="2">
        <v>201</v>
      </c>
      <c r="O762" s="2" t="s">
        <v>12</v>
      </c>
    </row>
    <row r="763" spans="1:15" x14ac:dyDescent="0.45">
      <c r="B763">
        <v>4</v>
      </c>
      <c r="C763">
        <f>E764-E763</f>
        <v>0.1592400074005127</v>
      </c>
      <c r="E763" s="1">
        <v>1536840753.70485</v>
      </c>
      <c r="F763" s="1">
        <f t="shared" ref="F763" si="835">E763-G763+0.13</f>
        <v>0.24122989654541016</v>
      </c>
      <c r="G763" s="1">
        <v>1536840753.5936201</v>
      </c>
      <c r="H763">
        <f>G763-I763</f>
        <v>0.1919100284576416</v>
      </c>
      <c r="I763" s="1">
        <v>1536840753.40171</v>
      </c>
      <c r="M763" s="1">
        <f t="shared" si="782"/>
        <v>0.43313992500305176</v>
      </c>
      <c r="N763" s="2">
        <v>616</v>
      </c>
      <c r="O763" s="2" t="s">
        <v>14</v>
      </c>
    </row>
    <row r="764" spans="1:15" x14ac:dyDescent="0.45">
      <c r="B764">
        <v>5</v>
      </c>
      <c r="E764" s="1">
        <v>1536840753.86409</v>
      </c>
      <c r="F764" s="1">
        <f t="shared" ref="F764" si="836">G764-E764-0.13</f>
        <v>-0.1724799919128418</v>
      </c>
      <c r="G764" s="1">
        <v>1536840753.82161</v>
      </c>
      <c r="H764">
        <f>I764-G764</f>
        <v>0.40875005722045898</v>
      </c>
      <c r="I764" s="1">
        <v>1536840754.23036</v>
      </c>
      <c r="K764">
        <f>I765-I764</f>
        <v>9.3649864196777344E-2</v>
      </c>
      <c r="M764" s="1">
        <f t="shared" si="782"/>
        <v>0.23627006530761718</v>
      </c>
      <c r="N764" s="2">
        <v>438</v>
      </c>
      <c r="O764" s="2" t="s">
        <v>15</v>
      </c>
    </row>
    <row r="765" spans="1:15" x14ac:dyDescent="0.45">
      <c r="B765">
        <v>6</v>
      </c>
      <c r="C765">
        <f>E766-E765</f>
        <v>3.9390087127685547E-2</v>
      </c>
      <c r="E765" s="1">
        <v>1536840754.4191599</v>
      </c>
      <c r="F765" s="1">
        <f t="shared" ref="F765" si="837">E765-G765+0.13</f>
        <v>0.28293979644775391</v>
      </c>
      <c r="G765" s="1">
        <v>1536840754.2662201</v>
      </c>
      <c r="H765">
        <f>G765-I765</f>
        <v>-5.7789802551269531E-2</v>
      </c>
      <c r="I765" s="1">
        <v>1536840754.3240099</v>
      </c>
      <c r="M765" s="1">
        <f t="shared" si="782"/>
        <v>0.22514999389648438</v>
      </c>
      <c r="N765" s="2">
        <v>129</v>
      </c>
      <c r="O765" s="2" t="s">
        <v>16</v>
      </c>
    </row>
    <row r="766" spans="1:15" x14ac:dyDescent="0.45">
      <c r="B766">
        <v>7</v>
      </c>
      <c r="E766" s="1">
        <v>1536840754.45855</v>
      </c>
      <c r="F766" s="1">
        <f t="shared" ref="F766" si="838">G766-E766-0.13</f>
        <v>-0.1768900203704834</v>
      </c>
      <c r="G766" s="1">
        <v>1536840754.41166</v>
      </c>
      <c r="H766">
        <f>I766-G766</f>
        <v>0.22554993629455566</v>
      </c>
      <c r="I766" s="1">
        <v>1536840754.6372099</v>
      </c>
      <c r="K766">
        <f>I767-I766</f>
        <v>0.17341017723083496</v>
      </c>
      <c r="M766" s="1">
        <f t="shared" si="782"/>
        <v>4.8659915924072261E-2</v>
      </c>
      <c r="N766" s="2">
        <v>113</v>
      </c>
      <c r="O766" s="2" t="s">
        <v>17</v>
      </c>
    </row>
    <row r="767" spans="1:15" x14ac:dyDescent="0.45">
      <c r="B767">
        <v>8</v>
      </c>
      <c r="E767" s="1">
        <v>1536840754.8310101</v>
      </c>
      <c r="F767" s="1">
        <f t="shared" ref="F767" si="839">E767-G767+0.13</f>
        <v>0.2877601432800293</v>
      </c>
      <c r="G767" s="1">
        <v>1536840754.67325</v>
      </c>
      <c r="H767">
        <f>G767-I767</f>
        <v>-0.13737010955810547</v>
      </c>
      <c r="I767" s="1">
        <v>1536840754.8106201</v>
      </c>
      <c r="M767" s="1">
        <f t="shared" si="782"/>
        <v>0.15039003372192383</v>
      </c>
      <c r="N767" s="2">
        <v>104</v>
      </c>
      <c r="O767" s="2" t="s">
        <v>17</v>
      </c>
    </row>
    <row r="768" spans="1:15" x14ac:dyDescent="0.45">
      <c r="B768" t="s">
        <v>3</v>
      </c>
      <c r="C768">
        <f>C761+C763+C765</f>
        <v>0.22573018074035645</v>
      </c>
      <c r="F768">
        <f t="shared" ref="F768" si="840">SUM(F760:F767)</f>
        <v>0.41924953460693359</v>
      </c>
      <c r="H768">
        <f>SUM(H760:H767)</f>
        <v>1.1788601875305176</v>
      </c>
      <c r="K768">
        <f>K760+K762+K764+K766</f>
        <v>0.32170009613037109</v>
      </c>
      <c r="M768" t="s">
        <v>18</v>
      </c>
      <c r="N768" s="2" t="s">
        <v>10</v>
      </c>
      <c r="O768" s="2" t="s">
        <v>11</v>
      </c>
    </row>
    <row r="769" spans="1:15" x14ac:dyDescent="0.45">
      <c r="A769">
        <v>86</v>
      </c>
      <c r="B769">
        <v>1</v>
      </c>
      <c r="E769" s="1">
        <v>1536840757.9302299</v>
      </c>
      <c r="F769" s="1">
        <f t="shared" ref="F769" si="841">G769-E769-0.13</f>
        <v>-0.15366995811462403</v>
      </c>
      <c r="G769" s="1">
        <v>1536840757.9065599</v>
      </c>
      <c r="H769">
        <f>I769-G769</f>
        <v>0.23775005340576172</v>
      </c>
      <c r="I769" s="1">
        <v>1536840758.14431</v>
      </c>
      <c r="K769">
        <f>I770-I769</f>
        <v>6.3800811767578125E-3</v>
      </c>
      <c r="M769" s="1">
        <f t="shared" ref="M769:M771" si="842">F769+H769</f>
        <v>8.4080095291137691E-2</v>
      </c>
      <c r="N769">
        <v>169</v>
      </c>
      <c r="O769" t="s">
        <v>12</v>
      </c>
    </row>
    <row r="770" spans="1:15" x14ac:dyDescent="0.45">
      <c r="B770">
        <v>2</v>
      </c>
      <c r="C770">
        <f>E771-E770</f>
        <v>2.0930051803588867E-2</v>
      </c>
      <c r="E770" s="1">
        <v>1536840758.2083499</v>
      </c>
      <c r="F770" s="1">
        <f t="shared" ref="F770" si="843">E770-G770+0.13</f>
        <v>0.20237005233764649</v>
      </c>
      <c r="G770" s="1">
        <v>1536840758.1359799</v>
      </c>
      <c r="H770">
        <f>G770-I770</f>
        <v>-1.4710187911987305E-2</v>
      </c>
      <c r="I770" s="1">
        <v>1536840758.1506901</v>
      </c>
      <c r="M770" s="1">
        <f t="shared" si="842"/>
        <v>0.18765986442565918</v>
      </c>
      <c r="N770">
        <v>122</v>
      </c>
      <c r="O770" t="s">
        <v>13</v>
      </c>
    </row>
    <row r="771" spans="1:15" x14ac:dyDescent="0.45">
      <c r="B771">
        <v>3</v>
      </c>
      <c r="E771" s="1">
        <v>1536840758.22928</v>
      </c>
      <c r="F771" s="1">
        <f t="shared" ref="F771" si="844">G771-E771-0.13</f>
        <v>-0.15343988418579102</v>
      </c>
      <c r="G771" s="1">
        <v>1536840758.2058401</v>
      </c>
      <c r="H771">
        <f>I771-G771</f>
        <v>0.27705979347229004</v>
      </c>
      <c r="I771" s="1">
        <v>1536840758.4828999</v>
      </c>
      <c r="K771">
        <f>I772-I771</f>
        <v>4.6810150146484375E-2</v>
      </c>
      <c r="M771" s="1">
        <f t="shared" si="842"/>
        <v>0.12361990928649902</v>
      </c>
      <c r="N771">
        <v>201</v>
      </c>
      <c r="O771" t="s">
        <v>12</v>
      </c>
    </row>
    <row r="772" spans="1:15" x14ac:dyDescent="0.45">
      <c r="B772">
        <v>4</v>
      </c>
      <c r="C772">
        <f>E773-E772</f>
        <v>0.16110992431640625</v>
      </c>
      <c r="E772" s="1">
        <v>1536840758.82289</v>
      </c>
      <c r="F772" s="1">
        <f t="shared" ref="F772" si="845">E772-G772+0.13</f>
        <v>0.19581997871398926</v>
      </c>
      <c r="G772" s="1">
        <v>1536840758.7570701</v>
      </c>
      <c r="H772">
        <f>G772-I772</f>
        <v>0.22736001014709473</v>
      </c>
      <c r="I772" s="1">
        <v>1536840758.5297101</v>
      </c>
      <c r="M772" s="1">
        <f t="shared" si="782"/>
        <v>0.42317998886108399</v>
      </c>
      <c r="N772">
        <v>616</v>
      </c>
      <c r="O772" t="s">
        <v>14</v>
      </c>
    </row>
    <row r="773" spans="1:15" x14ac:dyDescent="0.45">
      <c r="B773">
        <v>5</v>
      </c>
      <c r="E773" s="1">
        <v>1536840758.984</v>
      </c>
      <c r="F773" s="1">
        <f t="shared" ref="F773" si="846">G773-E773-0.13</f>
        <v>-0.13926995277404786</v>
      </c>
      <c r="G773" s="1">
        <v>1536840758.97473</v>
      </c>
      <c r="H773">
        <f>I773-G773</f>
        <v>0.38477993011474609</v>
      </c>
      <c r="I773" s="1">
        <v>1536840759.3595099</v>
      </c>
      <c r="K773">
        <f>I774-I773</f>
        <v>9.0090036392211914E-2</v>
      </c>
      <c r="M773" s="1">
        <f t="shared" si="782"/>
        <v>0.24550997734069824</v>
      </c>
      <c r="N773">
        <v>438</v>
      </c>
      <c r="O773" t="s">
        <v>15</v>
      </c>
    </row>
    <row r="774" spans="1:15" x14ac:dyDescent="0.45">
      <c r="B774">
        <v>6</v>
      </c>
      <c r="C774">
        <f>E775-E774</f>
        <v>4.616999626159668E-2</v>
      </c>
      <c r="E774" s="1">
        <v>1536840759.5413599</v>
      </c>
      <c r="F774" s="1">
        <f t="shared" ref="F774" si="847">E774-G774+0.13</f>
        <v>0.2296699333190918</v>
      </c>
      <c r="G774" s="1">
        <v>1536840759.44169</v>
      </c>
      <c r="H774">
        <f>G774-I774</f>
        <v>-7.9100131988525391E-3</v>
      </c>
      <c r="I774" s="1">
        <v>1536840759.4496</v>
      </c>
      <c r="M774" s="1">
        <f t="shared" si="782"/>
        <v>0.22175992012023926</v>
      </c>
      <c r="N774">
        <v>129</v>
      </c>
      <c r="O774" t="s">
        <v>16</v>
      </c>
    </row>
    <row r="775" spans="1:15" x14ac:dyDescent="0.45">
      <c r="B775">
        <v>7</v>
      </c>
      <c r="E775" s="1">
        <v>1536840759.5875299</v>
      </c>
      <c r="F775" s="1">
        <f t="shared" ref="F775" si="848">G775-E775-0.13</f>
        <v>-0.12932980537414551</v>
      </c>
      <c r="G775" s="1">
        <v>1536840759.5882001</v>
      </c>
      <c r="H775">
        <f>I775-G775</f>
        <v>0.17815995216369629</v>
      </c>
      <c r="I775" s="1">
        <v>1536840759.76636</v>
      </c>
      <c r="K775">
        <f>I776-I775</f>
        <v>0.13562989234924316</v>
      </c>
      <c r="M775" s="1">
        <f t="shared" si="782"/>
        <v>4.8830146789550777E-2</v>
      </c>
      <c r="N775">
        <v>113</v>
      </c>
      <c r="O775" t="s">
        <v>17</v>
      </c>
    </row>
    <row r="776" spans="1:15" x14ac:dyDescent="0.45">
      <c r="B776">
        <v>8</v>
      </c>
      <c r="E776" s="1">
        <v>1536840759.9485199</v>
      </c>
      <c r="F776" s="1">
        <f t="shared" ref="F776" si="849">E776-G776+0.13</f>
        <v>0.22296989440917969</v>
      </c>
      <c r="G776" s="1">
        <v>1536840759.8555501</v>
      </c>
      <c r="H776">
        <f>G776-I776</f>
        <v>-4.6439886093139648E-2</v>
      </c>
      <c r="I776" s="1">
        <v>1536840759.9019899</v>
      </c>
      <c r="M776" s="1">
        <f t="shared" si="782"/>
        <v>0.17653000831604004</v>
      </c>
      <c r="N776">
        <v>104</v>
      </c>
      <c r="O776" t="s">
        <v>17</v>
      </c>
    </row>
    <row r="777" spans="1:15" x14ac:dyDescent="0.45">
      <c r="B777" t="s">
        <v>3</v>
      </c>
      <c r="C777">
        <f>C770+C772+C774</f>
        <v>0.2282099723815918</v>
      </c>
      <c r="F777">
        <f t="shared" ref="F777" si="850">SUM(F769:F776)</f>
        <v>0.27512025833129883</v>
      </c>
      <c r="H777">
        <f>SUM(H769:H776)</f>
        <v>1.2360496520996094</v>
      </c>
      <c r="K777">
        <f>K769+K771+K773+K775</f>
        <v>0.27891016006469727</v>
      </c>
      <c r="M777" t="s">
        <v>18</v>
      </c>
      <c r="N777" t="s">
        <v>10</v>
      </c>
      <c r="O777" t="s">
        <v>11</v>
      </c>
    </row>
    <row r="778" spans="1:15" x14ac:dyDescent="0.45">
      <c r="A778">
        <v>87</v>
      </c>
      <c r="B778">
        <v>1</v>
      </c>
      <c r="E778" s="1">
        <v>1536840763.87587</v>
      </c>
      <c r="F778" s="1">
        <f t="shared" ref="F778" si="851">G778-E778-0.13</f>
        <v>-7.04900074005127E-2</v>
      </c>
      <c r="G778" s="1">
        <v>1536840763.93538</v>
      </c>
      <c r="H778">
        <f>I778-G778</f>
        <v>0.14798998832702637</v>
      </c>
      <c r="I778" s="1">
        <v>1536840764.08337</v>
      </c>
      <c r="K778">
        <f>I779-I778</f>
        <v>6.2401294708251953E-3</v>
      </c>
      <c r="M778" s="1">
        <f t="shared" ref="M778:M839" si="852">F778+H778</f>
        <v>7.7499980926513667E-2</v>
      </c>
      <c r="N778" s="2">
        <v>169</v>
      </c>
      <c r="O778" s="2" t="s">
        <v>12</v>
      </c>
    </row>
    <row r="779" spans="1:15" x14ac:dyDescent="0.45">
      <c r="B779">
        <v>2</v>
      </c>
      <c r="C779">
        <f>E780-E779</f>
        <v>1.1179924011230469E-2</v>
      </c>
      <c r="E779" s="1">
        <v>1536840764.14731</v>
      </c>
      <c r="F779" s="1">
        <f t="shared" ref="F779" si="853">E779-G779+0.13</f>
        <v>0.12014997482299805</v>
      </c>
      <c r="G779" s="1">
        <v>1536840764.15716</v>
      </c>
      <c r="H779">
        <f>G779-I779</f>
        <v>6.7549943923950195E-2</v>
      </c>
      <c r="I779" s="1">
        <v>1536840764.0896101</v>
      </c>
      <c r="M779" s="1">
        <f t="shared" si="852"/>
        <v>0.18769991874694825</v>
      </c>
      <c r="N779" s="2">
        <v>122</v>
      </c>
      <c r="O779" s="2" t="s">
        <v>13</v>
      </c>
    </row>
    <row r="780" spans="1:15" x14ac:dyDescent="0.45">
      <c r="B780">
        <v>3</v>
      </c>
      <c r="E780" s="1">
        <v>1536840764.1584899</v>
      </c>
      <c r="F780" s="1">
        <f t="shared" ref="F780" si="854">G780-E780-0.13</f>
        <v>-7.3179845809936528E-2</v>
      </c>
      <c r="G780" s="1">
        <v>1536840764.2153101</v>
      </c>
      <c r="H780">
        <f>I780-G780</f>
        <v>0.13916993141174316</v>
      </c>
      <c r="I780" s="1">
        <v>1536840764.35448</v>
      </c>
      <c r="K780">
        <f>I781-I780</f>
        <v>4.8490047454833984E-2</v>
      </c>
      <c r="M780" s="1">
        <f t="shared" si="852"/>
        <v>6.5990085601806636E-2</v>
      </c>
      <c r="N780" s="2">
        <v>201</v>
      </c>
      <c r="O780" s="2" t="s">
        <v>12</v>
      </c>
    </row>
    <row r="781" spans="1:15" x14ac:dyDescent="0.45">
      <c r="B781">
        <v>4</v>
      </c>
      <c r="C781">
        <f>E782-E781</f>
        <v>0.16236019134521484</v>
      </c>
      <c r="E781" s="1">
        <v>1536840764.7620399</v>
      </c>
      <c r="F781" s="1">
        <f t="shared" ref="F781" si="855">E781-G781+0.13</f>
        <v>0.18799984931945801</v>
      </c>
      <c r="G781" s="1">
        <v>1536840764.7040401</v>
      </c>
      <c r="H781">
        <f>G781-I781</f>
        <v>0.30106997489929199</v>
      </c>
      <c r="I781" s="1">
        <v>1536840764.4029701</v>
      </c>
      <c r="M781" s="1">
        <f t="shared" si="852"/>
        <v>0.48906982421875</v>
      </c>
      <c r="N781" s="2">
        <v>616</v>
      </c>
      <c r="O781" s="2" t="s">
        <v>14</v>
      </c>
    </row>
    <row r="782" spans="1:15" x14ac:dyDescent="0.45">
      <c r="B782">
        <v>5</v>
      </c>
      <c r="E782" s="1">
        <v>1536840764.9244001</v>
      </c>
      <c r="F782" s="1">
        <f t="shared" ref="F782" si="856">G782-E782-0.13</f>
        <v>-6.6429977416992192E-2</v>
      </c>
      <c r="G782" s="1">
        <v>1536840764.9879701</v>
      </c>
      <c r="H782">
        <f>I782-G782</f>
        <v>0.31062984466552734</v>
      </c>
      <c r="I782" s="1">
        <v>1536840765.2986</v>
      </c>
      <c r="K782">
        <f>I783-I782</f>
        <v>9.1140031814575195E-2</v>
      </c>
      <c r="M782" s="1">
        <f t="shared" si="852"/>
        <v>0.24419986724853515</v>
      </c>
      <c r="N782" s="2">
        <v>438</v>
      </c>
      <c r="O782" s="2" t="s">
        <v>15</v>
      </c>
    </row>
    <row r="783" spans="1:15" x14ac:dyDescent="0.45">
      <c r="B783">
        <v>6</v>
      </c>
      <c r="C783">
        <f>E784-E783</f>
        <v>4.5279979705810547E-2</v>
      </c>
      <c r="E783" s="1">
        <v>1536840765.4818001</v>
      </c>
      <c r="F783" s="1">
        <f t="shared" ref="F783" si="857">E783-G783+0.13</f>
        <v>0.16133010864257813</v>
      </c>
      <c r="G783" s="1">
        <v>1536840765.45047</v>
      </c>
      <c r="H783">
        <f>G783-I783</f>
        <v>6.072998046875E-2</v>
      </c>
      <c r="I783" s="1">
        <v>1536840765.38974</v>
      </c>
      <c r="M783" s="1">
        <f t="shared" si="852"/>
        <v>0.22206008911132813</v>
      </c>
      <c r="N783" s="2">
        <v>129</v>
      </c>
      <c r="O783" s="2" t="s">
        <v>16</v>
      </c>
    </row>
    <row r="784" spans="1:15" x14ac:dyDescent="0.45">
      <c r="B784">
        <v>7</v>
      </c>
      <c r="E784" s="1">
        <v>1536840765.5270801</v>
      </c>
      <c r="F784" s="1">
        <f t="shared" ref="F784" si="858">G784-E784-0.13</f>
        <v>-6.2490110397338872E-2</v>
      </c>
      <c r="G784" s="1">
        <v>1536840765.5945899</v>
      </c>
      <c r="H784">
        <f>I784-G784</f>
        <v>0.11083006858825684</v>
      </c>
      <c r="I784" s="1">
        <v>1536840765.70542</v>
      </c>
      <c r="K784">
        <f>I785-I784</f>
        <v>0.14350008964538574</v>
      </c>
      <c r="M784" s="1">
        <f t="shared" si="852"/>
        <v>4.8339958190917964E-2</v>
      </c>
      <c r="N784" s="2">
        <v>113</v>
      </c>
      <c r="O784" s="2" t="s">
        <v>17</v>
      </c>
    </row>
    <row r="785" spans="1:15" x14ac:dyDescent="0.45">
      <c r="B785">
        <v>8</v>
      </c>
      <c r="E785" s="1">
        <v>1536840765.88798</v>
      </c>
      <c r="F785" s="1">
        <f t="shared" ref="F785" si="859">E785-G785+0.13</f>
        <v>0.15723002433776856</v>
      </c>
      <c r="G785" s="1">
        <v>1536840765.86075</v>
      </c>
      <c r="H785">
        <f>G785-I785</f>
        <v>1.1829853057861328E-2</v>
      </c>
      <c r="I785" s="1">
        <v>1536840765.8489201</v>
      </c>
      <c r="M785" s="1">
        <f t="shared" si="852"/>
        <v>0.16905987739562989</v>
      </c>
      <c r="N785" s="2">
        <v>104</v>
      </c>
      <c r="O785" s="2" t="s">
        <v>17</v>
      </c>
    </row>
    <row r="786" spans="1:15" x14ac:dyDescent="0.45">
      <c r="B786" t="s">
        <v>3</v>
      </c>
      <c r="C786">
        <f>C779+C781+C783</f>
        <v>0.21882009506225586</v>
      </c>
      <c r="F786">
        <f t="shared" ref="F786" si="860">SUM(F778:F785)</f>
        <v>0.35412001609802246</v>
      </c>
      <c r="H786">
        <f>SUM(H778:H785)</f>
        <v>1.1497995853424072</v>
      </c>
      <c r="K786">
        <f>K778+K780+K782+K784</f>
        <v>0.28937029838562012</v>
      </c>
      <c r="M786" t="s">
        <v>18</v>
      </c>
      <c r="N786" s="2" t="s">
        <v>10</v>
      </c>
      <c r="O786" s="2" t="s">
        <v>11</v>
      </c>
    </row>
    <row r="787" spans="1:15" x14ac:dyDescent="0.45">
      <c r="A787">
        <v>88</v>
      </c>
      <c r="B787">
        <v>1</v>
      </c>
      <c r="E787" s="1">
        <v>1536840770.94502</v>
      </c>
      <c r="F787" s="1">
        <f t="shared" ref="F787" si="861">G787-E787-0.13</f>
        <v>-2.6610021591186528E-2</v>
      </c>
      <c r="G787" s="1">
        <v>1536840771.0484099</v>
      </c>
      <c r="H787">
        <f>I787-G787</f>
        <v>0.12135004997253418</v>
      </c>
      <c r="I787" s="1">
        <v>1536840771.16976</v>
      </c>
      <c r="K787">
        <f>I788-I787</f>
        <v>9.4699859619140625E-3</v>
      </c>
      <c r="M787" s="1">
        <f t="shared" ref="M787:M789" si="862">F787+H787</f>
        <v>9.4740028381347652E-2</v>
      </c>
      <c r="N787">
        <v>169</v>
      </c>
      <c r="O787" t="s">
        <v>12</v>
      </c>
    </row>
    <row r="788" spans="1:15" x14ac:dyDescent="0.45">
      <c r="B788">
        <v>2</v>
      </c>
      <c r="C788">
        <f>E789-E788</f>
        <v>1.8650054931640625E-2</v>
      </c>
      <c r="E788" s="1">
        <v>1536840771.21328</v>
      </c>
      <c r="F788" s="1">
        <f t="shared" ref="F788" si="863">E788-G788+0.13</f>
        <v>5.5199985504150395E-2</v>
      </c>
      <c r="G788" s="1">
        <v>1536840771.28808</v>
      </c>
      <c r="H788">
        <f>G788-I788</f>
        <v>0.10885000228881836</v>
      </c>
      <c r="I788" s="1">
        <v>1536840771.17923</v>
      </c>
      <c r="M788" s="1">
        <f t="shared" si="862"/>
        <v>0.16404998779296875</v>
      </c>
      <c r="N788">
        <v>122</v>
      </c>
      <c r="O788" t="s">
        <v>13</v>
      </c>
    </row>
    <row r="789" spans="1:15" x14ac:dyDescent="0.45">
      <c r="B789">
        <v>3</v>
      </c>
      <c r="E789" s="1">
        <v>1536840771.23193</v>
      </c>
      <c r="F789" s="1">
        <f t="shared" ref="F789" si="864">G789-E789-0.13</f>
        <v>-3.0799989700317387E-2</v>
      </c>
      <c r="G789" s="1">
        <v>1536840771.33113</v>
      </c>
      <c r="H789">
        <f>I789-G789</f>
        <v>0.10977005958557129</v>
      </c>
      <c r="I789" s="1">
        <v>1536840771.4409001</v>
      </c>
      <c r="K789">
        <f>I790-I789</f>
        <v>5.4919958114624023E-2</v>
      </c>
      <c r="M789" s="1">
        <f t="shared" si="862"/>
        <v>7.8970069885253902E-2</v>
      </c>
      <c r="N789">
        <v>201</v>
      </c>
      <c r="O789" t="s">
        <v>12</v>
      </c>
    </row>
    <row r="790" spans="1:15" x14ac:dyDescent="0.45">
      <c r="B790">
        <v>4</v>
      </c>
      <c r="C790">
        <f>E791-E790</f>
        <v>0.17567992210388184</v>
      </c>
      <c r="E790" s="1">
        <v>1536840771.83008</v>
      </c>
      <c r="F790" s="1">
        <f t="shared" ref="F790" si="865">E790-G790+0.13</f>
        <v>0.12851012229919434</v>
      </c>
      <c r="G790" s="1">
        <v>1536840771.8315699</v>
      </c>
      <c r="H790">
        <f>G790-I790</f>
        <v>0.33574986457824707</v>
      </c>
      <c r="I790" s="1">
        <v>1536840771.49582</v>
      </c>
      <c r="M790" s="1">
        <f t="shared" si="852"/>
        <v>0.46425998687744141</v>
      </c>
      <c r="N790">
        <v>616</v>
      </c>
      <c r="O790" t="s">
        <v>14</v>
      </c>
    </row>
    <row r="791" spans="1:15" x14ac:dyDescent="0.45">
      <c r="B791">
        <v>5</v>
      </c>
      <c r="E791" s="1">
        <v>1536840772.00576</v>
      </c>
      <c r="F791" s="1">
        <f t="shared" ref="F791" si="866">G791-E791-0.13</f>
        <v>-2.5089864730834965E-2</v>
      </c>
      <c r="G791" s="1">
        <v>1536840772.1106701</v>
      </c>
      <c r="H791">
        <f>I791-G791</f>
        <v>0.27436995506286621</v>
      </c>
      <c r="I791" s="1">
        <v>1536840772.38504</v>
      </c>
      <c r="K791">
        <f>I792-I791</f>
        <v>9.7359895706176758E-2</v>
      </c>
      <c r="M791" s="1">
        <f t="shared" si="852"/>
        <v>0.24928009033203125</v>
      </c>
      <c r="N791">
        <v>438</v>
      </c>
      <c r="O791" t="s">
        <v>15</v>
      </c>
    </row>
    <row r="792" spans="1:15" x14ac:dyDescent="0.45">
      <c r="B792">
        <v>6</v>
      </c>
      <c r="C792">
        <f>E793-E792</f>
        <v>4.3400049209594727E-2</v>
      </c>
      <c r="E792" s="1">
        <v>1536840772.54638</v>
      </c>
      <c r="F792" s="1">
        <f t="shared" ref="F792" si="867">E792-G792+0.13</f>
        <v>0.10182011604309082</v>
      </c>
      <c r="G792" s="1">
        <v>1536840772.5745599</v>
      </c>
      <c r="H792">
        <f>G792-I792</f>
        <v>9.215998649597168E-2</v>
      </c>
      <c r="I792" s="1">
        <v>1536840772.4823999</v>
      </c>
      <c r="M792" s="1">
        <f t="shared" si="852"/>
        <v>0.1939801025390625</v>
      </c>
      <c r="N792">
        <v>129</v>
      </c>
      <c r="O792" t="s">
        <v>16</v>
      </c>
    </row>
    <row r="793" spans="1:15" x14ac:dyDescent="0.45">
      <c r="B793">
        <v>7</v>
      </c>
      <c r="E793" s="1">
        <v>1536840772.5897801</v>
      </c>
      <c r="F793" s="1">
        <f t="shared" ref="F793" si="868">G793-E793-0.13</f>
        <v>-2.6030187606811528E-2</v>
      </c>
      <c r="G793" s="1">
        <v>1536840772.6937499</v>
      </c>
      <c r="H793">
        <f>I793-G793</f>
        <v>3.0610084533691406E-2</v>
      </c>
      <c r="I793" s="1">
        <v>1536840772.72436</v>
      </c>
      <c r="K793">
        <f>I794-I793</f>
        <v>0.13630008697509766</v>
      </c>
      <c r="M793" s="1">
        <f t="shared" si="852"/>
        <v>4.5798969268798784E-3</v>
      </c>
      <c r="N793">
        <v>113</v>
      </c>
      <c r="O793" t="s">
        <v>17</v>
      </c>
    </row>
    <row r="794" spans="1:15" x14ac:dyDescent="0.45">
      <c r="B794">
        <v>8</v>
      </c>
      <c r="E794" s="1">
        <v>1536840772.8515899</v>
      </c>
      <c r="F794" s="1">
        <f t="shared" ref="F794" si="869">E794-G794+0.13</f>
        <v>6.6249971389770512E-2</v>
      </c>
      <c r="G794" s="1">
        <v>1536840772.9153399</v>
      </c>
      <c r="H794">
        <f>G794-I794</f>
        <v>5.467987060546875E-2</v>
      </c>
      <c r="I794" s="1">
        <v>1536840772.8606601</v>
      </c>
      <c r="M794" s="1">
        <f t="shared" si="852"/>
        <v>0.12092984199523926</v>
      </c>
      <c r="N794">
        <v>104</v>
      </c>
      <c r="O794" t="s">
        <v>17</v>
      </c>
    </row>
    <row r="795" spans="1:15" x14ac:dyDescent="0.45">
      <c r="B795" t="s">
        <v>3</v>
      </c>
      <c r="C795">
        <f>C788+C790+C792</f>
        <v>0.23773002624511719</v>
      </c>
      <c r="F795">
        <f t="shared" ref="F795" si="870">SUM(F787:F794)</f>
        <v>0.24325013160705566</v>
      </c>
      <c r="H795">
        <f>SUM(H787:H794)</f>
        <v>1.1275398731231689</v>
      </c>
      <c r="K795">
        <f>K787+K789+K791+K793</f>
        <v>0.2980499267578125</v>
      </c>
      <c r="M795" t="s">
        <v>18</v>
      </c>
      <c r="N795" t="s">
        <v>10</v>
      </c>
      <c r="O795" t="s">
        <v>11</v>
      </c>
    </row>
    <row r="796" spans="1:15" x14ac:dyDescent="0.45">
      <c r="A796">
        <v>89</v>
      </c>
      <c r="B796">
        <v>1</v>
      </c>
      <c r="E796" s="1">
        <v>1536840776.78844</v>
      </c>
      <c r="F796" s="1">
        <f t="shared" ref="F796" si="871">G796-E796-0.13</f>
        <v>-9.7700405120849654E-3</v>
      </c>
      <c r="G796" s="1">
        <v>1536840776.9086699</v>
      </c>
      <c r="H796">
        <f>I796-G796</f>
        <v>0.13270998001098633</v>
      </c>
      <c r="I796" s="1">
        <v>1536840777.0413799</v>
      </c>
      <c r="K796">
        <f>I797-I796</f>
        <v>7.8001022338867188E-3</v>
      </c>
      <c r="M796" s="1">
        <f t="shared" ref="M796:M798" si="872">F796+H796</f>
        <v>0.12293993949890136</v>
      </c>
      <c r="N796" s="2">
        <v>169</v>
      </c>
      <c r="O796" s="2" t="s">
        <v>12</v>
      </c>
    </row>
    <row r="797" spans="1:15" x14ac:dyDescent="0.45">
      <c r="B797">
        <v>2</v>
      </c>
      <c r="C797">
        <f>E798-E797</f>
        <v>1.9919872283935547E-2</v>
      </c>
      <c r="E797" s="1">
        <v>1536840777.15453</v>
      </c>
      <c r="F797" s="1">
        <f t="shared" ref="F797" si="873">E797-G797+0.13</f>
        <v>0.1082099723815918</v>
      </c>
      <c r="G797" s="1">
        <v>1536840777.1763201</v>
      </c>
      <c r="H797">
        <f>G797-I797</f>
        <v>0.12714004516601563</v>
      </c>
      <c r="I797" s="1">
        <v>1536840777.04918</v>
      </c>
      <c r="M797" s="1">
        <f t="shared" si="872"/>
        <v>0.23535001754760743</v>
      </c>
      <c r="N797" s="2">
        <v>122</v>
      </c>
      <c r="O797" s="2" t="s">
        <v>13</v>
      </c>
    </row>
    <row r="798" spans="1:15" x14ac:dyDescent="0.45">
      <c r="B798">
        <v>3</v>
      </c>
      <c r="E798" s="1">
        <v>1536840777.1744499</v>
      </c>
      <c r="F798" s="1">
        <f t="shared" ref="F798" si="874">G798-E798-0.13</f>
        <v>-1.3899927139282231E-2</v>
      </c>
      <c r="G798" s="1">
        <v>1536840777.29055</v>
      </c>
      <c r="H798">
        <f>I798-G798</f>
        <v>8.9479923248291016E-2</v>
      </c>
      <c r="I798" s="1">
        <v>1536840777.3800299</v>
      </c>
      <c r="K798">
        <f>I799-I798</f>
        <v>5.2540063858032227E-2</v>
      </c>
      <c r="M798" s="1">
        <f t="shared" si="872"/>
        <v>7.5579996109008785E-2</v>
      </c>
      <c r="N798" s="2">
        <v>201</v>
      </c>
      <c r="O798" s="2" t="s">
        <v>12</v>
      </c>
    </row>
    <row r="799" spans="1:15" x14ac:dyDescent="0.45">
      <c r="B799">
        <v>4</v>
      </c>
      <c r="C799">
        <f>E800-E799</f>
        <v>0.15726017951965332</v>
      </c>
      <c r="E799" s="1">
        <v>1536840777.7671399</v>
      </c>
      <c r="F799" s="1">
        <f t="shared" ref="F799" si="875">E799-G799+0.13</f>
        <v>4.4359807968139653E-2</v>
      </c>
      <c r="G799" s="1">
        <v>1536840777.8527801</v>
      </c>
      <c r="H799">
        <f>G799-I799</f>
        <v>0.42021012306213379</v>
      </c>
      <c r="I799" s="1">
        <v>1536840777.43257</v>
      </c>
      <c r="M799" s="1">
        <f t="shared" si="852"/>
        <v>0.46456993103027344</v>
      </c>
      <c r="N799" s="2">
        <v>616</v>
      </c>
      <c r="O799" s="2" t="s">
        <v>14</v>
      </c>
    </row>
    <row r="800" spans="1:15" x14ac:dyDescent="0.45">
      <c r="B800">
        <v>5</v>
      </c>
      <c r="E800" s="1">
        <v>1536840777.9244001</v>
      </c>
      <c r="F800" s="1">
        <f t="shared" ref="F800" si="876">G800-E800-0.13</f>
        <v>-1.2860183715820317E-2</v>
      </c>
      <c r="G800" s="1">
        <v>1536840778.0415399</v>
      </c>
      <c r="H800">
        <f>I800-G800</f>
        <v>0.21510004997253418</v>
      </c>
      <c r="I800" s="1">
        <v>1536840778.25664</v>
      </c>
      <c r="K800">
        <f>I801-I800</f>
        <v>9.9660158157348633E-2</v>
      </c>
      <c r="M800" s="1">
        <f t="shared" si="852"/>
        <v>0.20223986625671386</v>
      </c>
      <c r="N800" s="2">
        <v>438</v>
      </c>
      <c r="O800" s="2" t="s">
        <v>15</v>
      </c>
    </row>
    <row r="801" spans="1:15" x14ac:dyDescent="0.45">
      <c r="B801">
        <v>6</v>
      </c>
      <c r="C801">
        <f>E802-E801</f>
        <v>5.4810047149658203E-2</v>
      </c>
      <c r="E801" s="1">
        <v>1536840778.3821599</v>
      </c>
      <c r="F801" s="1">
        <f t="shared" ref="F801" si="877">E801-G801+0.13</f>
        <v>5.0799970626831059E-2</v>
      </c>
      <c r="G801" s="1">
        <v>1536840778.46136</v>
      </c>
      <c r="H801">
        <f>G801-I801</f>
        <v>0.10505986213684082</v>
      </c>
      <c r="I801" s="1">
        <v>1536840778.3563001</v>
      </c>
      <c r="M801" s="1">
        <f t="shared" si="852"/>
        <v>0.15585983276367188</v>
      </c>
      <c r="N801" s="2">
        <v>129</v>
      </c>
      <c r="O801" s="2" t="s">
        <v>16</v>
      </c>
    </row>
    <row r="802" spans="1:15" x14ac:dyDescent="0.45">
      <c r="B802">
        <v>7</v>
      </c>
      <c r="E802" s="1">
        <v>1536840778.43697</v>
      </c>
      <c r="F802" s="1">
        <f t="shared" ref="F802" si="878">G802-E802-0.13</f>
        <v>-1.2019996643066411E-2</v>
      </c>
      <c r="G802" s="1">
        <v>1536840778.55495</v>
      </c>
      <c r="H802">
        <f>I802-G802</f>
        <v>4.1039943695068359E-2</v>
      </c>
      <c r="I802" s="1">
        <v>1536840778.5959899</v>
      </c>
      <c r="K802">
        <f>I803-I802</f>
        <v>0.13732004165649414</v>
      </c>
      <c r="M802" s="1">
        <f t="shared" si="852"/>
        <v>2.9019947052001949E-2</v>
      </c>
      <c r="N802" s="2">
        <v>113</v>
      </c>
      <c r="O802" s="2" t="s">
        <v>17</v>
      </c>
    </row>
    <row r="803" spans="1:15" x14ac:dyDescent="0.45">
      <c r="B803">
        <v>8</v>
      </c>
      <c r="E803" s="1">
        <v>1536840778.7908399</v>
      </c>
      <c r="F803" s="1">
        <f t="shared" ref="F803" si="879">E803-G803+0.13</f>
        <v>0.11922991752624512</v>
      </c>
      <c r="G803" s="1">
        <v>1536840778.80161</v>
      </c>
      <c r="H803">
        <f>G803-I803</f>
        <v>6.8300008773803711E-2</v>
      </c>
      <c r="I803" s="1">
        <v>1536840778.73331</v>
      </c>
      <c r="M803" s="1">
        <f t="shared" si="852"/>
        <v>0.18752992630004883</v>
      </c>
      <c r="N803" s="2">
        <v>104</v>
      </c>
      <c r="O803" s="2" t="s">
        <v>17</v>
      </c>
    </row>
    <row r="804" spans="1:15" x14ac:dyDescent="0.45">
      <c r="B804" t="s">
        <v>3</v>
      </c>
      <c r="C804">
        <f>C797+C799+C801</f>
        <v>0.23199009895324707</v>
      </c>
      <c r="F804">
        <f t="shared" ref="F804" si="880">SUM(F796:F803)</f>
        <v>0.27404952049255371</v>
      </c>
      <c r="H804">
        <f>SUM(H796:H803)</f>
        <v>1.1990399360656738</v>
      </c>
      <c r="K804">
        <f>K796+K798+K800+K802</f>
        <v>0.29732036590576172</v>
      </c>
      <c r="M804" t="s">
        <v>18</v>
      </c>
      <c r="N804" s="2" t="s">
        <v>10</v>
      </c>
      <c r="O804" s="2" t="s">
        <v>11</v>
      </c>
    </row>
    <row r="805" spans="1:15" x14ac:dyDescent="0.45">
      <c r="A805">
        <v>90</v>
      </c>
      <c r="B805">
        <v>1</v>
      </c>
      <c r="E805" s="1">
        <v>1536840782.5248499</v>
      </c>
      <c r="F805" s="1">
        <f t="shared" ref="F805" si="881">G805-E805-0.13</f>
        <v>1.00011825561519E-4</v>
      </c>
      <c r="G805" s="1">
        <v>1536840782.6549499</v>
      </c>
      <c r="H805">
        <f>I805-G805</f>
        <v>0.12311005592346191</v>
      </c>
      <c r="I805" s="1">
        <v>1536840782.77806</v>
      </c>
      <c r="K805">
        <f>I806-I805</f>
        <v>1.3720035552978516E-2</v>
      </c>
      <c r="M805" s="1">
        <f t="shared" ref="M805:M807" si="882">F805+H805</f>
        <v>0.12321006774902343</v>
      </c>
      <c r="N805">
        <v>169</v>
      </c>
      <c r="O805" t="s">
        <v>12</v>
      </c>
    </row>
    <row r="806" spans="1:15" x14ac:dyDescent="0.45">
      <c r="B806">
        <v>2</v>
      </c>
      <c r="C806">
        <f>E807-E806</f>
        <v>2.0450115203857422E-2</v>
      </c>
      <c r="E806" s="1">
        <v>1536840782.8873899</v>
      </c>
      <c r="F806" s="1">
        <f t="shared" ref="F806" si="883">E806-G806+0.13</f>
        <v>9.4639902114868169E-2</v>
      </c>
      <c r="G806" s="1">
        <v>1536840782.92275</v>
      </c>
      <c r="H806">
        <f>G806-I806</f>
        <v>0.13097000122070313</v>
      </c>
      <c r="I806" s="1">
        <v>1536840782.79178</v>
      </c>
      <c r="M806" s="1">
        <f t="shared" si="882"/>
        <v>0.22560990333557129</v>
      </c>
      <c r="N806">
        <v>122</v>
      </c>
      <c r="O806" t="s">
        <v>13</v>
      </c>
    </row>
    <row r="807" spans="1:15" x14ac:dyDescent="0.45">
      <c r="B807">
        <v>3</v>
      </c>
      <c r="E807" s="1">
        <v>1536840782.90784</v>
      </c>
      <c r="F807" s="1">
        <f t="shared" ref="F807" si="884">G807-E807-0.13</f>
        <v>-5.1399517059326216E-3</v>
      </c>
      <c r="G807" s="1">
        <v>1536840783.0327001</v>
      </c>
      <c r="H807">
        <f>I807-G807</f>
        <v>8.3989858627319336E-2</v>
      </c>
      <c r="I807" s="1">
        <v>1536840783.1166899</v>
      </c>
      <c r="K807">
        <f>I808-I807</f>
        <v>5.6030035018920898E-2</v>
      </c>
      <c r="M807" s="1">
        <f t="shared" si="882"/>
        <v>7.8849906921386714E-2</v>
      </c>
      <c r="N807">
        <v>201</v>
      </c>
      <c r="O807" t="s">
        <v>12</v>
      </c>
    </row>
    <row r="808" spans="1:15" x14ac:dyDescent="0.45">
      <c r="B808">
        <v>4</v>
      </c>
      <c r="C808">
        <f>E809-E808</f>
        <v>0.11212015151977539</v>
      </c>
      <c r="E808" s="1">
        <v>1536840783.5011699</v>
      </c>
      <c r="F808" s="1">
        <f t="shared" ref="F808" si="885">E808-G808+0.13</f>
        <v>9.8039989471435551E-2</v>
      </c>
      <c r="G808" s="1">
        <v>1536840783.5331299</v>
      </c>
      <c r="H808">
        <f>G808-I808</f>
        <v>0.36040997505187988</v>
      </c>
      <c r="I808" s="1">
        <v>1536840783.17272</v>
      </c>
      <c r="M808" s="1">
        <f t="shared" si="852"/>
        <v>0.45844996452331543</v>
      </c>
      <c r="N808">
        <v>616</v>
      </c>
      <c r="O808" t="s">
        <v>14</v>
      </c>
    </row>
    <row r="809" spans="1:15" x14ac:dyDescent="0.45">
      <c r="B809">
        <v>5</v>
      </c>
      <c r="E809" s="1">
        <v>1536840783.6132901</v>
      </c>
      <c r="F809" s="1">
        <f t="shared" ref="F809" si="886">G809-E809-0.13</f>
        <v>-4.2201328277587935E-3</v>
      </c>
      <c r="G809" s="1">
        <v>1536840783.7390699</v>
      </c>
      <c r="H809">
        <f>I809-G809</f>
        <v>0.25494003295898438</v>
      </c>
      <c r="I809" s="1">
        <v>1536840783.99401</v>
      </c>
      <c r="K809">
        <f>I810-I809</f>
        <v>9.141993522644043E-2</v>
      </c>
      <c r="M809" s="1">
        <f t="shared" si="852"/>
        <v>0.25071990013122558</v>
      </c>
      <c r="N809">
        <v>438</v>
      </c>
      <c r="O809" t="s">
        <v>15</v>
      </c>
    </row>
    <row r="810" spans="1:15" x14ac:dyDescent="0.45">
      <c r="B810">
        <v>6</v>
      </c>
      <c r="C810">
        <f>E811-E810</f>
        <v>2.5579929351806641E-2</v>
      </c>
      <c r="E810" s="1">
        <v>1536840784.09196</v>
      </c>
      <c r="F810" s="1">
        <f t="shared" ref="F810" si="887">E810-G810+0.13</f>
        <v>1.5119915008544926E-2</v>
      </c>
      <c r="G810" s="1">
        <v>1536840784.20684</v>
      </c>
      <c r="H810">
        <f>G810-I810</f>
        <v>0.12141013145446777</v>
      </c>
      <c r="I810" s="1">
        <v>1536840784.0854299</v>
      </c>
      <c r="M810" s="1">
        <f t="shared" si="852"/>
        <v>0.1365300464630127</v>
      </c>
      <c r="N810">
        <v>129</v>
      </c>
      <c r="O810" t="s">
        <v>16</v>
      </c>
    </row>
    <row r="811" spans="1:15" x14ac:dyDescent="0.45">
      <c r="B811">
        <v>7</v>
      </c>
      <c r="E811" s="1">
        <v>1536840784.1175399</v>
      </c>
      <c r="F811" s="1">
        <f t="shared" ref="F811" si="888">G811-E811-0.13</f>
        <v>-6.8599033355712935E-3</v>
      </c>
      <c r="G811" s="1">
        <v>1536840784.24068</v>
      </c>
      <c r="H811">
        <f>I811-G811</f>
        <v>2.4500131607055664E-2</v>
      </c>
      <c r="I811" s="1">
        <v>1536840784.2651801</v>
      </c>
      <c r="K811">
        <f>I812-I811</f>
        <v>0.13504981994628906</v>
      </c>
      <c r="M811" s="1">
        <f t="shared" si="852"/>
        <v>1.7640228271484371E-2</v>
      </c>
      <c r="N811">
        <v>113</v>
      </c>
      <c r="O811" t="s">
        <v>17</v>
      </c>
    </row>
    <row r="812" spans="1:15" x14ac:dyDescent="0.45">
      <c r="B812">
        <v>8</v>
      </c>
      <c r="E812" s="1">
        <v>1536840784.4228499</v>
      </c>
      <c r="F812" s="1">
        <f t="shared" ref="F812" si="889">E812-G812+0.13</f>
        <v>7.3559885025024419E-2</v>
      </c>
      <c r="G812" s="1">
        <v>1536840784.47929</v>
      </c>
      <c r="H812">
        <f>G812-I812</f>
        <v>7.9060077667236328E-2</v>
      </c>
      <c r="I812" s="1">
        <v>1536840784.4002299</v>
      </c>
      <c r="M812" s="1">
        <f t="shared" si="852"/>
        <v>0.15261996269226075</v>
      </c>
      <c r="N812">
        <v>104</v>
      </c>
      <c r="O812" t="s">
        <v>17</v>
      </c>
    </row>
    <row r="813" spans="1:15" x14ac:dyDescent="0.45">
      <c r="B813" t="s">
        <v>3</v>
      </c>
      <c r="C813">
        <f>C806+C808+C810</f>
        <v>0.15815019607543945</v>
      </c>
      <c r="F813">
        <f t="shared" ref="F813" si="890">SUM(F805:F812)</f>
        <v>0.26523971557617188</v>
      </c>
      <c r="H813">
        <f>SUM(H805:H812)</f>
        <v>1.1783902645111084</v>
      </c>
      <c r="K813">
        <f>K805+K807+K809+K811</f>
        <v>0.29621982574462891</v>
      </c>
      <c r="M813" t="s">
        <v>18</v>
      </c>
      <c r="N813" t="s">
        <v>10</v>
      </c>
      <c r="O813" t="s">
        <v>11</v>
      </c>
    </row>
    <row r="814" spans="1:15" x14ac:dyDescent="0.45">
      <c r="A814">
        <v>91</v>
      </c>
      <c r="B814">
        <v>1</v>
      </c>
      <c r="E814" s="1">
        <v>1536840788.12233</v>
      </c>
      <c r="F814" s="1">
        <f t="shared" ref="F814" si="891">G814-E814-0.13</f>
        <v>5.6799602508544877E-3</v>
      </c>
      <c r="G814" s="1">
        <v>1536840788.2580099</v>
      </c>
      <c r="H814">
        <f>I814-G814</f>
        <v>0.12179017066955566</v>
      </c>
      <c r="I814" s="1">
        <v>1536840788.3798001</v>
      </c>
      <c r="K814">
        <f>I815-I814</f>
        <v>7.579803466796875E-3</v>
      </c>
      <c r="M814" s="1">
        <f t="shared" ref="M814:M816" si="892">F814+H814</f>
        <v>0.12747013092041015</v>
      </c>
      <c r="N814" s="2">
        <v>169</v>
      </c>
      <c r="O814" s="2" t="s">
        <v>12</v>
      </c>
    </row>
    <row r="815" spans="1:15" x14ac:dyDescent="0.45">
      <c r="B815">
        <v>2</v>
      </c>
      <c r="C815">
        <f>E816-E815</f>
        <v>2.1459817886352539E-2</v>
      </c>
      <c r="E815" s="1">
        <v>1536840788.5190101</v>
      </c>
      <c r="F815" s="1">
        <f t="shared" ref="F815" si="893">E815-G815+0.13</f>
        <v>0.11817014694213868</v>
      </c>
      <c r="G815" s="1">
        <v>1536840788.5308399</v>
      </c>
      <c r="H815">
        <f>G815-I815</f>
        <v>0.14346003532409668</v>
      </c>
      <c r="I815" s="1">
        <v>1536840788.3873799</v>
      </c>
      <c r="M815" s="1">
        <f t="shared" si="892"/>
        <v>0.26163018226623536</v>
      </c>
      <c r="N815" s="2">
        <v>122</v>
      </c>
      <c r="O815" s="2" t="s">
        <v>13</v>
      </c>
    </row>
    <row r="816" spans="1:15" x14ac:dyDescent="0.45">
      <c r="B816">
        <v>3</v>
      </c>
      <c r="E816" s="1">
        <v>1536840788.5404699</v>
      </c>
      <c r="F816" s="1">
        <f t="shared" ref="F816" si="894">G816-E816-0.13</f>
        <v>-2.7099895477294966E-3</v>
      </c>
      <c r="G816" s="1">
        <v>1536840788.6677599</v>
      </c>
      <c r="H816">
        <f>I816-G816</f>
        <v>0.11814022064208984</v>
      </c>
      <c r="I816" s="1">
        <v>1536840788.7859001</v>
      </c>
      <c r="K816">
        <f>I817-I816</f>
        <v>4.7619819641113281E-2</v>
      </c>
      <c r="M816" s="1">
        <f t="shared" si="892"/>
        <v>0.11543023109436035</v>
      </c>
      <c r="N816" s="2">
        <v>201</v>
      </c>
      <c r="O816" s="2" t="s">
        <v>12</v>
      </c>
    </row>
    <row r="817" spans="1:15" x14ac:dyDescent="0.45">
      <c r="B817">
        <v>4</v>
      </c>
      <c r="C817">
        <f>E818-E817</f>
        <v>0.14702987670898438</v>
      </c>
      <c r="E817" s="1">
        <v>1536840789.1357801</v>
      </c>
      <c r="F817" s="1">
        <f t="shared" ref="F817" si="895">E817-G817+0.13</f>
        <v>5.7460193634033208E-2</v>
      </c>
      <c r="G817" s="1">
        <v>1536840789.2083199</v>
      </c>
      <c r="H817">
        <f>G817-I817</f>
        <v>0.37479996681213379</v>
      </c>
      <c r="I817" s="1">
        <v>1536840788.8335199</v>
      </c>
      <c r="M817" s="1">
        <f t="shared" si="852"/>
        <v>0.432260160446167</v>
      </c>
      <c r="N817" s="2">
        <v>616</v>
      </c>
      <c r="O817" s="2" t="s">
        <v>14</v>
      </c>
    </row>
    <row r="818" spans="1:15" x14ac:dyDescent="0.45">
      <c r="B818">
        <v>5</v>
      </c>
      <c r="E818" s="1">
        <v>1536840789.28281</v>
      </c>
      <c r="F818" s="1">
        <f t="shared" ref="F818" si="896">G818-E818-0.13</f>
        <v>5.2010536193847212E-4</v>
      </c>
      <c r="G818" s="1">
        <v>1536840789.4133301</v>
      </c>
      <c r="H818">
        <f>I818-G818</f>
        <v>0.24920988082885742</v>
      </c>
      <c r="I818" s="1">
        <v>1536840789.66254</v>
      </c>
      <c r="K818">
        <f>I819-I818</f>
        <v>8.8340044021606445E-2</v>
      </c>
      <c r="M818" s="1">
        <f t="shared" si="852"/>
        <v>0.24972998619079589</v>
      </c>
      <c r="N818" s="2">
        <v>438</v>
      </c>
      <c r="O818" s="2" t="s">
        <v>15</v>
      </c>
    </row>
    <row r="819" spans="1:15" x14ac:dyDescent="0.45">
      <c r="B819">
        <v>6</v>
      </c>
      <c r="C819">
        <f>E820-E819</f>
        <v>4.3590068817138672E-2</v>
      </c>
      <c r="E819" s="1">
        <v>1536840789.85062</v>
      </c>
      <c r="F819" s="1">
        <f t="shared" ref="F819" si="897">E819-G819+0.13</f>
        <v>9.9540119171142583E-2</v>
      </c>
      <c r="G819" s="1">
        <v>1536840789.8810799</v>
      </c>
      <c r="H819">
        <f>G819-I819</f>
        <v>0.13019990921020508</v>
      </c>
      <c r="I819" s="1">
        <v>1536840789.75088</v>
      </c>
      <c r="M819" s="1">
        <f t="shared" si="852"/>
        <v>0.22974002838134766</v>
      </c>
      <c r="N819" s="2">
        <v>129</v>
      </c>
      <c r="O819" s="2" t="s">
        <v>16</v>
      </c>
    </row>
    <row r="820" spans="1:15" x14ac:dyDescent="0.45">
      <c r="B820">
        <v>7</v>
      </c>
      <c r="E820" s="1">
        <v>1536840789.8942101</v>
      </c>
      <c r="F820" s="1">
        <f t="shared" ref="F820" si="898">G820-E820-0.13</f>
        <v>3.09820175170894E-4</v>
      </c>
      <c r="G820" s="1">
        <v>1536840790.0245199</v>
      </c>
      <c r="H820">
        <f>I820-G820</f>
        <v>4.4840097427368164E-2</v>
      </c>
      <c r="I820" s="1">
        <v>1536840790.06936</v>
      </c>
      <c r="K820">
        <f>I821-I820</f>
        <v>0.13659000396728516</v>
      </c>
      <c r="M820" s="1">
        <f t="shared" si="852"/>
        <v>4.5149917602539058E-2</v>
      </c>
      <c r="N820" s="2">
        <v>113</v>
      </c>
      <c r="O820" s="2" t="s">
        <v>17</v>
      </c>
    </row>
    <row r="821" spans="1:15" x14ac:dyDescent="0.45">
      <c r="B821">
        <v>8</v>
      </c>
      <c r="E821" s="1">
        <v>1536840790.2616301</v>
      </c>
      <c r="F821" s="1">
        <f t="shared" ref="F821" si="899">E821-G821+0.13</f>
        <v>0.10350001335144043</v>
      </c>
      <c r="G821" s="1">
        <v>1536840790.28813</v>
      </c>
      <c r="H821">
        <f>G821-I821</f>
        <v>8.2180023193359375E-2</v>
      </c>
      <c r="I821" s="1">
        <v>1536840790.20595</v>
      </c>
      <c r="M821" s="1">
        <f t="shared" si="852"/>
        <v>0.18568003654479981</v>
      </c>
      <c r="N821" s="2">
        <v>104</v>
      </c>
      <c r="O821" s="2" t="s">
        <v>17</v>
      </c>
    </row>
    <row r="822" spans="1:15" x14ac:dyDescent="0.45">
      <c r="B822" t="s">
        <v>3</v>
      </c>
      <c r="C822">
        <f>C815+C817+C819</f>
        <v>0.21207976341247559</v>
      </c>
      <c r="F822">
        <f t="shared" ref="F822" si="900">SUM(F814:F821)</f>
        <v>0.38247036933898926</v>
      </c>
      <c r="H822">
        <f>SUM(H814:H821)</f>
        <v>1.264620304107666</v>
      </c>
      <c r="K822">
        <f>K814+K816+K818+K820</f>
        <v>0.28012967109680176</v>
      </c>
      <c r="M822" t="s">
        <v>18</v>
      </c>
      <c r="N822" s="2" t="s">
        <v>10</v>
      </c>
      <c r="O822" s="2" t="s">
        <v>11</v>
      </c>
    </row>
    <row r="823" spans="1:15" x14ac:dyDescent="0.45">
      <c r="A823">
        <v>92</v>
      </c>
      <c r="B823">
        <v>1</v>
      </c>
      <c r="E823" s="1">
        <v>1536840796.9047101</v>
      </c>
      <c r="F823" s="1">
        <f t="shared" ref="F823" si="901">G823-E823-0.13</f>
        <v>4.8600387573242143E-3</v>
      </c>
      <c r="G823" s="1">
        <v>1536840797.0395701</v>
      </c>
      <c r="H823">
        <f>I823-G823</f>
        <v>0.11401987075805664</v>
      </c>
      <c r="I823" s="1">
        <v>1536840797.15359</v>
      </c>
      <c r="K823">
        <f>I824-I823</f>
        <v>7.0300102233886719E-3</v>
      </c>
      <c r="M823" s="1">
        <f t="shared" ref="M823:M825" si="902">F823+H823</f>
        <v>0.11887990951538085</v>
      </c>
      <c r="N823">
        <v>169</v>
      </c>
      <c r="O823" t="s">
        <v>12</v>
      </c>
    </row>
    <row r="824" spans="1:15" x14ac:dyDescent="0.45">
      <c r="B824">
        <v>2</v>
      </c>
      <c r="C824">
        <f>E825-E824</f>
        <v>2.845001220703125E-2</v>
      </c>
      <c r="E824" s="1">
        <v>1536840797.22332</v>
      </c>
      <c r="F824" s="1">
        <f t="shared" ref="F824" si="903">E824-G824+0.13</f>
        <v>4.8289899826049809E-2</v>
      </c>
      <c r="G824" s="1">
        <v>1536840797.3050301</v>
      </c>
      <c r="H824">
        <f>G824-I824</f>
        <v>0.14441013336181641</v>
      </c>
      <c r="I824" s="1">
        <v>1536840797.16062</v>
      </c>
      <c r="M824" s="1">
        <f t="shared" si="902"/>
        <v>0.19270003318786622</v>
      </c>
      <c r="N824">
        <v>122</v>
      </c>
      <c r="O824" t="s">
        <v>13</v>
      </c>
    </row>
    <row r="825" spans="1:15" x14ac:dyDescent="0.45">
      <c r="B825">
        <v>3</v>
      </c>
      <c r="E825" s="1">
        <v>1536840797.25177</v>
      </c>
      <c r="F825" s="1">
        <f t="shared" ref="F825" si="904">G825-E825-0.13</f>
        <v>-9.8002433776855913E-4</v>
      </c>
      <c r="G825" s="1">
        <v>1536840797.38079</v>
      </c>
      <c r="H825">
        <f>I825-G825</f>
        <v>0.1114199161529541</v>
      </c>
      <c r="I825" s="1">
        <v>1536840797.4922099</v>
      </c>
      <c r="K825">
        <f>I826-I825</f>
        <v>5.4000139236450195E-2</v>
      </c>
      <c r="M825" s="1">
        <f t="shared" si="902"/>
        <v>0.11043989181518554</v>
      </c>
      <c r="N825">
        <v>201</v>
      </c>
      <c r="O825" t="s">
        <v>12</v>
      </c>
    </row>
    <row r="826" spans="1:15" x14ac:dyDescent="0.45">
      <c r="B826">
        <v>4</v>
      </c>
      <c r="C826">
        <f>E827-E826</f>
        <v>0.15972995758056641</v>
      </c>
      <c r="E826" s="1">
        <v>1536840797.83934</v>
      </c>
      <c r="F826" s="1">
        <f t="shared" ref="F826" si="905">E826-G826+0.13</f>
        <v>5.4659967422485356E-2</v>
      </c>
      <c r="G826" s="1">
        <v>1536840797.91468</v>
      </c>
      <c r="H826">
        <f>G826-I826</f>
        <v>0.3684699535369873</v>
      </c>
      <c r="I826" s="1">
        <v>1536840797.5462101</v>
      </c>
      <c r="M826" s="1">
        <f t="shared" si="852"/>
        <v>0.42312992095947266</v>
      </c>
      <c r="N826">
        <v>616</v>
      </c>
      <c r="O826" t="s">
        <v>14</v>
      </c>
    </row>
    <row r="827" spans="1:15" x14ac:dyDescent="0.45">
      <c r="B827">
        <v>5</v>
      </c>
      <c r="E827" s="1">
        <v>1536840797.9990699</v>
      </c>
      <c r="F827" s="1">
        <f t="shared" ref="F827" si="906">G827-E827-0.13</f>
        <v>-9.700107574462935E-4</v>
      </c>
      <c r="G827" s="1">
        <v>1536840798.1280999</v>
      </c>
      <c r="H827">
        <f>I827-G827</f>
        <v>0.24076008796691895</v>
      </c>
      <c r="I827" s="1">
        <v>1536840798.36886</v>
      </c>
      <c r="K827">
        <f>I828-I827</f>
        <v>9.2030048370361328E-2</v>
      </c>
      <c r="M827" s="1">
        <f t="shared" si="852"/>
        <v>0.23979007720947265</v>
      </c>
      <c r="N827">
        <v>438</v>
      </c>
      <c r="O827" t="s">
        <v>15</v>
      </c>
    </row>
    <row r="828" spans="1:15" x14ac:dyDescent="0.45">
      <c r="B828">
        <v>6</v>
      </c>
      <c r="C828">
        <f>E829-E828</f>
        <v>4.028010368347168E-2</v>
      </c>
      <c r="E828" s="1">
        <v>1536840798.5543699</v>
      </c>
      <c r="F828" s="1">
        <f t="shared" ref="F828" si="907">E828-G828+0.13</f>
        <v>9.6729879379272465E-2</v>
      </c>
      <c r="G828" s="1">
        <v>1536840798.58764</v>
      </c>
      <c r="H828">
        <f>G828-I828</f>
        <v>0.12674999237060547</v>
      </c>
      <c r="I828" s="1">
        <v>1536840798.4608901</v>
      </c>
      <c r="M828" s="1">
        <f t="shared" si="852"/>
        <v>0.22347987174987793</v>
      </c>
      <c r="N828">
        <v>129</v>
      </c>
      <c r="O828" t="s">
        <v>16</v>
      </c>
    </row>
    <row r="829" spans="1:15" x14ac:dyDescent="0.45">
      <c r="B829">
        <v>7</v>
      </c>
      <c r="E829" s="1">
        <v>1536840798.59465</v>
      </c>
      <c r="F829" s="1">
        <f t="shared" ref="F829" si="908">G829-E829-0.13</f>
        <v>-1.9014358520508257E-4</v>
      </c>
      <c r="G829" s="1">
        <v>1536840798.7244599</v>
      </c>
      <c r="H829">
        <f>I829-G829</f>
        <v>5.1240205764770508E-2</v>
      </c>
      <c r="I829" s="1">
        <v>1536840798.7757001</v>
      </c>
      <c r="K829">
        <f>I830-I829</f>
        <v>0.13573980331420898</v>
      </c>
      <c r="M829" s="1">
        <f t="shared" si="852"/>
        <v>5.1050062179565425E-2</v>
      </c>
      <c r="N829">
        <v>113</v>
      </c>
      <c r="O829" t="s">
        <v>17</v>
      </c>
    </row>
    <row r="830" spans="1:15" x14ac:dyDescent="0.45">
      <c r="B830">
        <v>8</v>
      </c>
      <c r="E830" s="1">
        <v>1536840798.96433</v>
      </c>
      <c r="F830" s="1">
        <f t="shared" ref="F830" si="909">E830-G830+0.13</f>
        <v>9.951985359191895E-2</v>
      </c>
      <c r="G830" s="1">
        <v>1536840798.9948101</v>
      </c>
      <c r="H830">
        <f>G830-I830</f>
        <v>8.3370208740234375E-2</v>
      </c>
      <c r="I830" s="1">
        <v>1536840798.9114399</v>
      </c>
      <c r="M830" s="1">
        <f t="shared" si="852"/>
        <v>0.18289006233215332</v>
      </c>
      <c r="N830">
        <v>104</v>
      </c>
      <c r="O830" t="s">
        <v>17</v>
      </c>
    </row>
    <row r="831" spans="1:15" x14ac:dyDescent="0.45">
      <c r="B831" t="s">
        <v>3</v>
      </c>
      <c r="C831">
        <f>C824+C826+C828</f>
        <v>0.22846007347106934</v>
      </c>
      <c r="F831">
        <f t="shared" ref="F831" si="910">SUM(F823:F830)</f>
        <v>0.30191946029663086</v>
      </c>
      <c r="H831">
        <f>SUM(H823:H830)</f>
        <v>1.2404403686523438</v>
      </c>
      <c r="K831">
        <f>K823+K825+K827+K829</f>
        <v>0.28880000114440918</v>
      </c>
      <c r="M831" t="s">
        <v>18</v>
      </c>
      <c r="N831" t="s">
        <v>10</v>
      </c>
      <c r="O831" t="s">
        <v>11</v>
      </c>
    </row>
    <row r="832" spans="1:15" x14ac:dyDescent="0.45">
      <c r="A832">
        <v>93</v>
      </c>
      <c r="B832">
        <v>1</v>
      </c>
      <c r="E832" s="1">
        <v>1536840801.54388</v>
      </c>
      <c r="F832" s="1">
        <f t="shared" ref="F832" si="911">G832-E832-0.13</f>
        <v>5.2601051330566362E-3</v>
      </c>
      <c r="G832" s="1">
        <v>1536840801.6791401</v>
      </c>
      <c r="H832">
        <f>I832-G832</f>
        <v>6.3849925994873047E-2</v>
      </c>
      <c r="I832" s="1">
        <v>1536840801.74299</v>
      </c>
      <c r="K832">
        <f>I833-I832</f>
        <v>7.0199966430664063E-3</v>
      </c>
      <c r="M832" s="1">
        <f t="shared" ref="M832:M834" si="912">F832+H832</f>
        <v>6.9110031127929683E-2</v>
      </c>
      <c r="N832" s="2">
        <v>169</v>
      </c>
      <c r="O832" s="2" t="s">
        <v>12</v>
      </c>
    </row>
    <row r="833" spans="1:15" x14ac:dyDescent="0.45">
      <c r="B833">
        <v>2</v>
      </c>
      <c r="C833">
        <f>E834-E833</f>
        <v>1.6910076141357422E-2</v>
      </c>
      <c r="E833" s="1">
        <v>1536840801.8310599</v>
      </c>
      <c r="F833" s="1">
        <f t="shared" ref="F833" si="913">E833-G833+0.13</f>
        <v>6.5829877853393559E-2</v>
      </c>
      <c r="G833" s="1">
        <v>1536840801.8952301</v>
      </c>
      <c r="H833">
        <f>G833-I833</f>
        <v>0.14522004127502441</v>
      </c>
      <c r="I833" s="1">
        <v>1536840801.75001</v>
      </c>
      <c r="M833" s="1">
        <f t="shared" si="912"/>
        <v>0.21104991912841797</v>
      </c>
      <c r="N833" s="2">
        <v>122</v>
      </c>
      <c r="O833" s="2" t="s">
        <v>13</v>
      </c>
    </row>
    <row r="834" spans="1:15" x14ac:dyDescent="0.45">
      <c r="B834">
        <v>3</v>
      </c>
      <c r="E834" s="1">
        <v>1536840801.84797</v>
      </c>
      <c r="F834" s="1">
        <f t="shared" ref="F834" si="914">G834-E834-0.13</f>
        <v>-9.8991394043013159E-6</v>
      </c>
      <c r="G834" s="1">
        <v>1536840801.9779601</v>
      </c>
      <c r="H834">
        <f>I834-G834</f>
        <v>0.10363984107971191</v>
      </c>
      <c r="I834" s="1">
        <v>1536840802.0816</v>
      </c>
      <c r="K834">
        <f>I835-I834</f>
        <v>4.7559976577758789E-2</v>
      </c>
      <c r="M834" s="1">
        <f t="shared" si="912"/>
        <v>0.10362994194030761</v>
      </c>
      <c r="N834" s="2">
        <v>201</v>
      </c>
      <c r="O834" s="2" t="s">
        <v>12</v>
      </c>
    </row>
    <row r="835" spans="1:15" x14ac:dyDescent="0.45">
      <c r="B835">
        <v>4</v>
      </c>
      <c r="C835">
        <f>E836-E835</f>
        <v>0.15608000755310059</v>
      </c>
      <c r="E835" s="1">
        <v>1536840802.54829</v>
      </c>
      <c r="F835" s="1">
        <f t="shared" ref="F835" si="915">E835-G835+0.13</f>
        <v>0.10649002075195313</v>
      </c>
      <c r="G835" s="1">
        <v>1536840802.5718</v>
      </c>
      <c r="H835">
        <f>G835-I835</f>
        <v>0.44264006614685059</v>
      </c>
      <c r="I835" s="1">
        <v>1536840802.1291599</v>
      </c>
      <c r="M835" s="1">
        <f t="shared" si="852"/>
        <v>0.54913008689880372</v>
      </c>
      <c r="N835" s="2">
        <v>616</v>
      </c>
      <c r="O835" s="2" t="s">
        <v>14</v>
      </c>
    </row>
    <row r="836" spans="1:15" x14ac:dyDescent="0.45">
      <c r="B836">
        <v>5</v>
      </c>
      <c r="E836" s="1">
        <v>1536840802.70437</v>
      </c>
      <c r="F836" s="1">
        <f t="shared" ref="F836" si="916">G836-E836-0.13</f>
        <v>-3.9939880371098191E-5</v>
      </c>
      <c r="G836" s="1">
        <v>1536840802.8343301</v>
      </c>
      <c r="H836">
        <f>I836-G836</f>
        <v>0.19139981269836426</v>
      </c>
      <c r="I836" s="1">
        <v>1536840803.0257299</v>
      </c>
      <c r="K836">
        <f>I837-I836</f>
        <v>8.7830066680908203E-2</v>
      </c>
      <c r="M836" s="1">
        <f t="shared" si="852"/>
        <v>0.19135987281799316</v>
      </c>
      <c r="N836" s="2">
        <v>438</v>
      </c>
      <c r="O836" s="2" t="s">
        <v>15</v>
      </c>
    </row>
    <row r="837" spans="1:15" x14ac:dyDescent="0.45">
      <c r="B837">
        <v>6</v>
      </c>
      <c r="C837">
        <f>E838-E837</f>
        <v>5.4759979248046875E-2</v>
      </c>
      <c r="E837" s="1">
        <v>1536840803.16289</v>
      </c>
      <c r="F837" s="1">
        <f t="shared" ref="F837" si="917">E837-G837+0.13</f>
        <v>4.7369842529296879E-2</v>
      </c>
      <c r="G837" s="1">
        <v>1536840803.2455201</v>
      </c>
      <c r="H837">
        <f>G837-I837</f>
        <v>0.13196015357971191</v>
      </c>
      <c r="I837" s="1">
        <v>1536840803.11356</v>
      </c>
      <c r="M837" s="1">
        <f t="shared" si="852"/>
        <v>0.17932999610900879</v>
      </c>
      <c r="N837" s="2">
        <v>129</v>
      </c>
      <c r="O837" s="2" t="s">
        <v>16</v>
      </c>
    </row>
    <row r="838" spans="1:15" x14ac:dyDescent="0.45">
      <c r="B838">
        <v>7</v>
      </c>
      <c r="E838" s="1">
        <v>1536840803.2176499</v>
      </c>
      <c r="F838" s="1">
        <f t="shared" ref="F838" si="918">G838-E838-0.13</f>
        <v>2.7400207519531206E-3</v>
      </c>
      <c r="G838" s="1">
        <v>1536840803.35039</v>
      </c>
      <c r="H838">
        <f>I838-G838</f>
        <v>1.4699935913085938E-2</v>
      </c>
      <c r="I838" s="1">
        <v>1536840803.3650899</v>
      </c>
      <c r="K838">
        <f>I839-I838</f>
        <v>0.13611006736755371</v>
      </c>
      <c r="M838" s="1">
        <f t="shared" si="852"/>
        <v>1.7439956665039058E-2</v>
      </c>
      <c r="N838" s="2">
        <v>113</v>
      </c>
      <c r="O838" s="2" t="s">
        <v>17</v>
      </c>
    </row>
    <row r="839" spans="1:15" x14ac:dyDescent="0.45">
      <c r="B839">
        <v>8</v>
      </c>
      <c r="E839" s="1">
        <v>1536840803.57181</v>
      </c>
      <c r="F839" s="1">
        <f t="shared" ref="F839" si="919">E839-G839+0.13</f>
        <v>0.11659992218017579</v>
      </c>
      <c r="G839" s="1">
        <v>1536840803.5852101</v>
      </c>
      <c r="H839">
        <f>G839-I839</f>
        <v>8.4010124206542969E-2</v>
      </c>
      <c r="I839" s="1">
        <v>1536840803.5012</v>
      </c>
      <c r="M839" s="1">
        <f t="shared" si="852"/>
        <v>0.20061004638671875</v>
      </c>
      <c r="N839" s="2">
        <v>104</v>
      </c>
      <c r="O839" s="2" t="s">
        <v>17</v>
      </c>
    </row>
    <row r="840" spans="1:15" x14ac:dyDescent="0.45">
      <c r="B840" t="s">
        <v>3</v>
      </c>
      <c r="C840">
        <f>C833+C835+C837</f>
        <v>0.22775006294250488</v>
      </c>
      <c r="F840">
        <f t="shared" ref="F840" si="920">SUM(F832:F839)</f>
        <v>0.34423995018005371</v>
      </c>
      <c r="H840">
        <f>SUM(H832:H839)</f>
        <v>1.177419900894165</v>
      </c>
      <c r="K840">
        <f>K832+K834+K836+K838</f>
        <v>0.27852010726928711</v>
      </c>
      <c r="M840" t="s">
        <v>18</v>
      </c>
      <c r="N840" s="2" t="s">
        <v>10</v>
      </c>
      <c r="O840" s="2" t="s">
        <v>11</v>
      </c>
    </row>
    <row r="841" spans="1:15" x14ac:dyDescent="0.45">
      <c r="A841">
        <v>94</v>
      </c>
      <c r="B841">
        <v>1</v>
      </c>
      <c r="E841" s="1">
        <v>1536840805.82232</v>
      </c>
      <c r="F841" s="1">
        <f t="shared" ref="F841" si="921">G841-E841-0.13</f>
        <v>1.419897079467769E-3</v>
      </c>
      <c r="G841" s="1">
        <v>1536840805.9537399</v>
      </c>
      <c r="H841">
        <f>I841-G841</f>
        <v>0.10870003700256348</v>
      </c>
      <c r="I841" s="1">
        <v>1536840806.0624399</v>
      </c>
      <c r="K841">
        <f>I842-I841</f>
        <v>6.2601566314697266E-3</v>
      </c>
      <c r="M841" s="1">
        <f t="shared" ref="M841:M902" si="922">F841+H841</f>
        <v>0.11011993408203125</v>
      </c>
      <c r="N841">
        <v>169</v>
      </c>
      <c r="O841" t="s">
        <v>12</v>
      </c>
    </row>
    <row r="842" spans="1:15" x14ac:dyDescent="0.45">
      <c r="B842">
        <v>2</v>
      </c>
      <c r="C842">
        <f>E843-E842</f>
        <v>1.9060134887695313E-2</v>
      </c>
      <c r="E842" s="1">
        <v>1536840806.1322899</v>
      </c>
      <c r="F842" s="1">
        <f t="shared" ref="F842" si="923">E842-G842+0.13</f>
        <v>4.5769815444946294E-2</v>
      </c>
      <c r="G842" s="1">
        <v>1536840806.2165201</v>
      </c>
      <c r="H842">
        <f>G842-I842</f>
        <v>0.14781999588012695</v>
      </c>
      <c r="I842" s="1">
        <v>1536840806.0687001</v>
      </c>
      <c r="M842" s="1">
        <f t="shared" si="922"/>
        <v>0.19358981132507325</v>
      </c>
      <c r="N842">
        <v>122</v>
      </c>
      <c r="O842" t="s">
        <v>13</v>
      </c>
    </row>
    <row r="843" spans="1:15" x14ac:dyDescent="0.45">
      <c r="B843">
        <v>3</v>
      </c>
      <c r="E843" s="1">
        <v>1536840806.15135</v>
      </c>
      <c r="F843" s="1">
        <f t="shared" ref="F843" si="924">G843-E843-0.13</f>
        <v>1.6986846923827681E-4</v>
      </c>
      <c r="G843" s="1">
        <v>1536840806.2815199</v>
      </c>
      <c r="H843">
        <f>I843-G843</f>
        <v>0.11953020095825195</v>
      </c>
      <c r="I843" s="1">
        <v>1536840806.4010501</v>
      </c>
      <c r="K843">
        <f>I844-I843</f>
        <v>4.6949863433837891E-2</v>
      </c>
      <c r="M843" s="1">
        <f t="shared" si="922"/>
        <v>0.11970006942749023</v>
      </c>
      <c r="N843">
        <v>201</v>
      </c>
      <c r="O843" t="s">
        <v>12</v>
      </c>
    </row>
    <row r="844" spans="1:15" x14ac:dyDescent="0.45">
      <c r="B844">
        <v>4</v>
      </c>
      <c r="C844">
        <f>E845-E844</f>
        <v>0.15827012062072754</v>
      </c>
      <c r="E844" s="1">
        <v>1536840806.7486999</v>
      </c>
      <c r="F844" s="1">
        <f t="shared" ref="F844" si="925">E844-G844+0.13</f>
        <v>5.3069953918457036E-2</v>
      </c>
      <c r="G844" s="1">
        <v>1536840806.8256299</v>
      </c>
      <c r="H844">
        <f>G844-I844</f>
        <v>0.37762999534606934</v>
      </c>
      <c r="I844" s="1">
        <v>1536840806.448</v>
      </c>
      <c r="M844" s="1">
        <f t="shared" si="922"/>
        <v>0.43069994926452637</v>
      </c>
      <c r="N844">
        <v>616</v>
      </c>
      <c r="O844" t="s">
        <v>14</v>
      </c>
    </row>
    <row r="845" spans="1:15" x14ac:dyDescent="0.45">
      <c r="B845">
        <v>5</v>
      </c>
      <c r="E845" s="1">
        <v>1536840806.90697</v>
      </c>
      <c r="F845" s="1">
        <f t="shared" ref="F845" si="926">G845-E845-0.13</f>
        <v>-3.9939880371098191E-5</v>
      </c>
      <c r="G845" s="1">
        <v>1536840807.0369301</v>
      </c>
      <c r="H845">
        <f>I845-G845</f>
        <v>0.24075984954833984</v>
      </c>
      <c r="I845" s="1">
        <v>1536840807.2776899</v>
      </c>
      <c r="K845">
        <f>I846-I845</f>
        <v>8.8870048522949219E-2</v>
      </c>
      <c r="M845" s="1">
        <f t="shared" si="922"/>
        <v>0.24071990966796875</v>
      </c>
      <c r="N845">
        <v>438</v>
      </c>
      <c r="O845" t="s">
        <v>15</v>
      </c>
    </row>
    <row r="846" spans="1:15" x14ac:dyDescent="0.45">
      <c r="B846">
        <v>6</v>
      </c>
      <c r="C846">
        <f>E847-E846</f>
        <v>4.4340133666992188E-2</v>
      </c>
      <c r="E846" s="1">
        <v>1536840807.4637499</v>
      </c>
      <c r="F846" s="1">
        <f t="shared" ref="F846" si="927">E846-G846+0.13</f>
        <v>9.5049982070922856E-2</v>
      </c>
      <c r="G846" s="1">
        <v>1536840807.4986999</v>
      </c>
      <c r="H846">
        <f>G846-I846</f>
        <v>0.13213992118835449</v>
      </c>
      <c r="I846" s="1">
        <v>1536840807.36656</v>
      </c>
      <c r="M846" s="1">
        <f t="shared" si="922"/>
        <v>0.22718990325927735</v>
      </c>
      <c r="N846">
        <v>129</v>
      </c>
      <c r="O846" t="s">
        <v>16</v>
      </c>
    </row>
    <row r="847" spans="1:15" x14ac:dyDescent="0.45">
      <c r="B847">
        <v>7</v>
      </c>
      <c r="E847" s="1">
        <v>1536840807.50809</v>
      </c>
      <c r="F847" s="1">
        <f t="shared" ref="F847" si="928">G847-E847-0.13</f>
        <v>3.89928817749019E-4</v>
      </c>
      <c r="G847" s="1">
        <v>1536840807.6384799</v>
      </c>
      <c r="H847">
        <f>I847-G847</f>
        <v>4.6050071716308594E-2</v>
      </c>
      <c r="I847" s="1">
        <v>1536840807.68453</v>
      </c>
      <c r="K847">
        <f>I848-I847</f>
        <v>0.13586997985839844</v>
      </c>
      <c r="M847" s="1">
        <f t="shared" si="922"/>
        <v>4.6440000534057613E-2</v>
      </c>
      <c r="N847">
        <v>113</v>
      </c>
      <c r="O847" t="s">
        <v>17</v>
      </c>
    </row>
    <row r="848" spans="1:15" x14ac:dyDescent="0.45">
      <c r="B848">
        <v>8</v>
      </c>
      <c r="E848" s="1">
        <v>1536840807.87521</v>
      </c>
      <c r="F848" s="1">
        <f t="shared" ref="F848" si="929">E848-G848+0.13</f>
        <v>9.9269990921020512E-2</v>
      </c>
      <c r="G848" s="1">
        <v>1536840807.9059401</v>
      </c>
      <c r="H848">
        <f>G848-I848</f>
        <v>8.5540056228637695E-2</v>
      </c>
      <c r="I848" s="1">
        <v>1536840807.8204</v>
      </c>
      <c r="M848" s="1">
        <f t="shared" si="922"/>
        <v>0.18481004714965821</v>
      </c>
      <c r="N848">
        <v>104</v>
      </c>
      <c r="O848" t="s">
        <v>17</v>
      </c>
    </row>
    <row r="849" spans="1:15" x14ac:dyDescent="0.45">
      <c r="B849" t="s">
        <v>3</v>
      </c>
      <c r="C849">
        <f>C842+C844+C846</f>
        <v>0.22167038917541504</v>
      </c>
      <c r="F849">
        <f t="shared" ref="F849" si="930">SUM(F841:F848)</f>
        <v>0.29509949684143066</v>
      </c>
      <c r="H849">
        <f>SUM(H841:H848)</f>
        <v>1.2581701278686523</v>
      </c>
      <c r="K849">
        <f>K841+K843+K845+K847</f>
        <v>0.27795004844665527</v>
      </c>
      <c r="M849" t="s">
        <v>18</v>
      </c>
      <c r="N849" t="s">
        <v>10</v>
      </c>
      <c r="O849" t="s">
        <v>11</v>
      </c>
    </row>
    <row r="850" spans="1:15" x14ac:dyDescent="0.45">
      <c r="A850">
        <v>95</v>
      </c>
      <c r="B850">
        <v>1</v>
      </c>
      <c r="E850" s="1">
        <v>1536840810.8127301</v>
      </c>
      <c r="F850" s="1">
        <f t="shared" ref="F850" si="931">G850-E850-0.13</f>
        <v>6.7199420928955034E-3</v>
      </c>
      <c r="G850" s="1">
        <v>1536840810.94945</v>
      </c>
      <c r="H850">
        <f>I850-G850</f>
        <v>0.10734987258911133</v>
      </c>
      <c r="I850" s="1">
        <v>1536840811.0567999</v>
      </c>
      <c r="K850">
        <f>I851-I850</f>
        <v>6.2601566314697266E-3</v>
      </c>
      <c r="M850" s="1">
        <f t="shared" ref="M850:M852" si="932">F850+H850</f>
        <v>0.11406981468200683</v>
      </c>
      <c r="N850" s="2">
        <v>169</v>
      </c>
      <c r="O850" s="2" t="s">
        <v>12</v>
      </c>
    </row>
    <row r="851" spans="1:15" x14ac:dyDescent="0.45">
      <c r="B851">
        <v>2</v>
      </c>
      <c r="C851">
        <f>E852-E851</f>
        <v>2.0849943161010742E-2</v>
      </c>
      <c r="E851" s="1">
        <v>1536840811.15239</v>
      </c>
      <c r="F851" s="1">
        <f t="shared" ref="F851" si="933">E851-G851+0.13</f>
        <v>7.0459966659545903E-2</v>
      </c>
      <c r="G851" s="1">
        <v>1536840811.21193</v>
      </c>
      <c r="H851">
        <f>G851-I851</f>
        <v>0.14886999130249023</v>
      </c>
      <c r="I851" s="1">
        <v>1536840811.06306</v>
      </c>
      <c r="M851" s="1">
        <f t="shared" si="932"/>
        <v>0.21932995796203614</v>
      </c>
      <c r="N851" s="2">
        <v>122</v>
      </c>
      <c r="O851" s="2" t="s">
        <v>13</v>
      </c>
    </row>
    <row r="852" spans="1:15" x14ac:dyDescent="0.45">
      <c r="B852">
        <v>3</v>
      </c>
      <c r="E852" s="1">
        <v>1536840811.1732399</v>
      </c>
      <c r="F852" s="1">
        <f t="shared" ref="F852" si="934">G852-E852-0.13</f>
        <v>1.2501430511474565E-3</v>
      </c>
      <c r="G852" s="1">
        <v>1536840811.3044901</v>
      </c>
      <c r="H852">
        <f>I852-G852</f>
        <v>9.0929985046386719E-2</v>
      </c>
      <c r="I852" s="1">
        <v>1536840811.3954201</v>
      </c>
      <c r="K852">
        <f>I853-I852</f>
        <v>4.7960042953491211E-2</v>
      </c>
      <c r="M852" s="1">
        <f t="shared" si="932"/>
        <v>9.2180128097534175E-2</v>
      </c>
      <c r="N852" s="2">
        <v>201</v>
      </c>
      <c r="O852" s="2" t="s">
        <v>12</v>
      </c>
    </row>
    <row r="853" spans="1:15" x14ac:dyDescent="0.45">
      <c r="B853">
        <v>4</v>
      </c>
      <c r="C853">
        <f>E854-E853</f>
        <v>0.15523982048034668</v>
      </c>
      <c r="E853" s="1">
        <v>1536840811.8696101</v>
      </c>
      <c r="F853" s="1">
        <f t="shared" ref="F853" si="935">E853-G853+0.13</f>
        <v>0.11240017890930176</v>
      </c>
      <c r="G853" s="1">
        <v>1536840811.8872099</v>
      </c>
      <c r="H853">
        <f>G853-I853</f>
        <v>0.44382977485656738</v>
      </c>
      <c r="I853" s="1">
        <v>1536840811.4433801</v>
      </c>
      <c r="M853" s="1">
        <f t="shared" si="922"/>
        <v>0.55622995376586915</v>
      </c>
      <c r="N853" s="2">
        <v>616</v>
      </c>
      <c r="O853" s="2" t="s">
        <v>14</v>
      </c>
    </row>
    <row r="854" spans="1:15" x14ac:dyDescent="0.45">
      <c r="B854">
        <v>5</v>
      </c>
      <c r="E854" s="1">
        <v>1536840812.0248499</v>
      </c>
      <c r="F854" s="1">
        <f t="shared" ref="F854" si="936">G854-E854-0.13</f>
        <v>1.4001083374023393E-3</v>
      </c>
      <c r="G854" s="1">
        <v>1536840812.15625</v>
      </c>
      <c r="H854">
        <f>I854-G854</f>
        <v>0.25079989433288574</v>
      </c>
      <c r="I854" s="1">
        <v>1536840812.4070499</v>
      </c>
      <c r="K854">
        <f>I855-I854</f>
        <v>9.3890190124511719E-2</v>
      </c>
      <c r="M854" s="1">
        <f t="shared" si="922"/>
        <v>0.25220000267028808</v>
      </c>
      <c r="N854" s="2">
        <v>438</v>
      </c>
      <c r="O854" s="2" t="s">
        <v>15</v>
      </c>
    </row>
    <row r="855" spans="1:15" x14ac:dyDescent="0.45">
      <c r="B855">
        <v>6</v>
      </c>
      <c r="C855">
        <f>E856-E855</f>
        <v>4.300999641418457E-2</v>
      </c>
      <c r="E855" s="1">
        <v>1536840812.58376</v>
      </c>
      <c r="F855" s="1">
        <f t="shared" ref="F855" si="937">E855-G855+0.13</f>
        <v>8.3890085220336919E-2</v>
      </c>
      <c r="G855" s="1">
        <v>1536840812.6298699</v>
      </c>
      <c r="H855">
        <f>G855-I855</f>
        <v>0.12892985343933105</v>
      </c>
      <c r="I855" s="1">
        <v>1536840812.5009401</v>
      </c>
      <c r="M855" s="1">
        <f t="shared" si="922"/>
        <v>0.21281993865966797</v>
      </c>
      <c r="N855" s="2">
        <v>129</v>
      </c>
      <c r="O855" s="2" t="s">
        <v>16</v>
      </c>
    </row>
    <row r="856" spans="1:15" x14ac:dyDescent="0.45">
      <c r="B856">
        <v>7</v>
      </c>
      <c r="E856" s="1">
        <v>1536840812.62677</v>
      </c>
      <c r="F856" s="1">
        <f t="shared" ref="F856" si="938">G856-E856-0.13</f>
        <v>1.5300464630126909E-3</v>
      </c>
      <c r="G856" s="1">
        <v>1536840812.7583001</v>
      </c>
      <c r="H856">
        <f>I856-G856</f>
        <v>-1.1899948120117188E-2</v>
      </c>
      <c r="I856" s="1">
        <v>1536840812.7464001</v>
      </c>
      <c r="K856">
        <f>I857-I856</f>
        <v>0.13644981384277344</v>
      </c>
      <c r="M856" s="1">
        <f t="shared" si="922"/>
        <v>-1.0369901657104497E-2</v>
      </c>
      <c r="N856" s="2">
        <v>113</v>
      </c>
      <c r="O856" s="2" t="s">
        <v>17</v>
      </c>
    </row>
    <row r="857" spans="1:15" x14ac:dyDescent="0.45">
      <c r="B857">
        <v>8</v>
      </c>
      <c r="E857" s="1">
        <v>1536840812.8928001</v>
      </c>
      <c r="F857" s="1">
        <f t="shared" ref="F857" si="939">E857-G857+0.13</f>
        <v>5.3180103302001958E-2</v>
      </c>
      <c r="G857" s="1">
        <v>1536840812.96962</v>
      </c>
      <c r="H857">
        <f>G857-I857</f>
        <v>8.6770057678222656E-2</v>
      </c>
      <c r="I857" s="1">
        <v>1536840812.8828499</v>
      </c>
      <c r="M857" s="1">
        <f t="shared" si="922"/>
        <v>0.13995016098022461</v>
      </c>
      <c r="N857" s="2">
        <v>104</v>
      </c>
      <c r="O857" s="2" t="s">
        <v>17</v>
      </c>
    </row>
    <row r="858" spans="1:15" x14ac:dyDescent="0.45">
      <c r="B858" t="s">
        <v>3</v>
      </c>
      <c r="C858">
        <f>C851+C853+C855</f>
        <v>0.21909976005554199</v>
      </c>
      <c r="F858">
        <f t="shared" ref="F858" si="940">SUM(F850:F857)</f>
        <v>0.33083057403564453</v>
      </c>
      <c r="H858">
        <f>SUM(H850:H857)</f>
        <v>1.2455794811248779</v>
      </c>
      <c r="K858">
        <f>K850+K852+K854+K856</f>
        <v>0.28456020355224609</v>
      </c>
      <c r="M858" t="s">
        <v>18</v>
      </c>
      <c r="N858" s="2" t="s">
        <v>10</v>
      </c>
      <c r="O858" s="2" t="s">
        <v>11</v>
      </c>
    </row>
    <row r="859" spans="1:15" x14ac:dyDescent="0.45">
      <c r="A859">
        <v>96</v>
      </c>
      <c r="B859">
        <v>1</v>
      </c>
      <c r="E859" s="1">
        <v>1536840815.5283999</v>
      </c>
      <c r="F859" s="1">
        <f t="shared" ref="F859" si="941">G859-E859-0.13</f>
        <v>7.2799873352050737E-3</v>
      </c>
      <c r="G859" s="1">
        <v>1536840815.6656799</v>
      </c>
      <c r="H859">
        <f>I859-G859</f>
        <v>0.1155400276184082</v>
      </c>
      <c r="I859" s="1">
        <v>1536840815.78122</v>
      </c>
      <c r="K859">
        <f>I860-I859</f>
        <v>7.1599483489990234E-3</v>
      </c>
      <c r="M859" s="1">
        <f t="shared" ref="M859:M861" si="942">F859+H859</f>
        <v>0.12282001495361328</v>
      </c>
      <c r="N859">
        <v>169</v>
      </c>
      <c r="O859" t="s">
        <v>12</v>
      </c>
    </row>
    <row r="860" spans="1:15" x14ac:dyDescent="0.45">
      <c r="B860">
        <v>2</v>
      </c>
      <c r="C860">
        <f>E861-E860</f>
        <v>2.5850057601928711E-2</v>
      </c>
      <c r="E860" s="1">
        <v>1536840815.86099</v>
      </c>
      <c r="F860" s="1">
        <f t="shared" ref="F860" si="943">E860-G860+0.13</f>
        <v>5.2820091247558598E-2</v>
      </c>
      <c r="G860" s="1">
        <v>1536840815.93817</v>
      </c>
      <c r="H860">
        <f>G860-I860</f>
        <v>0.14979004859924316</v>
      </c>
      <c r="I860" s="1">
        <v>1536840815.7883799</v>
      </c>
      <c r="M860" s="1">
        <f t="shared" si="942"/>
        <v>0.20261013984680176</v>
      </c>
      <c r="N860">
        <v>122</v>
      </c>
      <c r="O860" t="s">
        <v>13</v>
      </c>
    </row>
    <row r="861" spans="1:15" x14ac:dyDescent="0.45">
      <c r="B861">
        <v>3</v>
      </c>
      <c r="E861" s="1">
        <v>1536840815.8868401</v>
      </c>
      <c r="F861" s="1">
        <f t="shared" ref="F861" si="944">G861-E861-0.13</f>
        <v>-1.0701465606689498E-3</v>
      </c>
      <c r="G861" s="1">
        <v>1536840816.01577</v>
      </c>
      <c r="H861">
        <f>I861-G861</f>
        <v>0.10406994819641113</v>
      </c>
      <c r="I861" s="1">
        <v>1536840816.1198399</v>
      </c>
      <c r="K861">
        <f>I862-I861</f>
        <v>4.8160076141357422E-2</v>
      </c>
      <c r="M861" s="1">
        <f t="shared" si="942"/>
        <v>0.10299980163574218</v>
      </c>
      <c r="N861">
        <v>201</v>
      </c>
      <c r="O861" t="s">
        <v>12</v>
      </c>
    </row>
    <row r="862" spans="1:15" x14ac:dyDescent="0.45">
      <c r="B862">
        <v>4</v>
      </c>
      <c r="C862">
        <f>E863-E862</f>
        <v>0.14356017112731934</v>
      </c>
      <c r="E862" s="1">
        <v>1536840816.4750199</v>
      </c>
      <c r="F862" s="1">
        <f t="shared" ref="F862" si="945">E862-G862+0.13</f>
        <v>5.7009820938110356E-2</v>
      </c>
      <c r="G862" s="1">
        <v>1536840816.5480101</v>
      </c>
      <c r="H862">
        <f>G862-I862</f>
        <v>0.38001012802124023</v>
      </c>
      <c r="I862" s="1">
        <v>1536840816.168</v>
      </c>
      <c r="M862" s="1">
        <f t="shared" si="922"/>
        <v>0.43701994895935059</v>
      </c>
      <c r="N862">
        <v>616</v>
      </c>
      <c r="O862" t="s">
        <v>14</v>
      </c>
    </row>
    <row r="863" spans="1:15" x14ac:dyDescent="0.45">
      <c r="B863">
        <v>5</v>
      </c>
      <c r="E863" s="1">
        <v>1536840816.6185801</v>
      </c>
      <c r="F863" s="1">
        <f t="shared" ref="F863" si="946">G863-E863-0.13</f>
        <v>2.2898864746093706E-3</v>
      </c>
      <c r="G863" s="1">
        <v>1536840816.75087</v>
      </c>
      <c r="H863">
        <f>I863-G863</f>
        <v>0.24627995491027832</v>
      </c>
      <c r="I863" s="1">
        <v>1536840816.9971499</v>
      </c>
      <c r="K863">
        <f>I864-I863</f>
        <v>0.10983014106750488</v>
      </c>
      <c r="M863" s="1">
        <f t="shared" si="922"/>
        <v>0.24856984138488769</v>
      </c>
      <c r="N863">
        <v>438</v>
      </c>
      <c r="O863" t="s">
        <v>15</v>
      </c>
    </row>
    <row r="864" spans="1:15" x14ac:dyDescent="0.45">
      <c r="B864">
        <v>6</v>
      </c>
      <c r="C864">
        <f>E865-E864</f>
        <v>4.2010068893432617E-2</v>
      </c>
      <c r="E864" s="1">
        <v>1536840817.19274</v>
      </c>
      <c r="F864" s="1">
        <f t="shared" ref="F864" si="947">E864-G864+0.13</f>
        <v>0.10158002853393555</v>
      </c>
      <c r="G864" s="1">
        <v>1536840817.2211599</v>
      </c>
      <c r="H864">
        <f>G864-I864</f>
        <v>0.11417984962463379</v>
      </c>
      <c r="I864" s="1">
        <v>1536840817.1069801</v>
      </c>
      <c r="M864" s="1">
        <f t="shared" si="922"/>
        <v>0.21575987815856934</v>
      </c>
      <c r="N864">
        <v>129</v>
      </c>
      <c r="O864" t="s">
        <v>16</v>
      </c>
    </row>
    <row r="865" spans="1:15" x14ac:dyDescent="0.45">
      <c r="B865">
        <v>7</v>
      </c>
      <c r="E865" s="1">
        <v>1536840817.23475</v>
      </c>
      <c r="F865" s="1">
        <f t="shared" ref="F865" si="948">G865-E865-0.13</f>
        <v>2.8098773956298784E-3</v>
      </c>
      <c r="G865" s="1">
        <v>1536840817.3675599</v>
      </c>
      <c r="H865">
        <f>I865-G865</f>
        <v>3.5770177841186523E-2</v>
      </c>
      <c r="I865" s="1">
        <v>1536840817.4033301</v>
      </c>
      <c r="K865">
        <f>I866-I865</f>
        <v>0.13643980026245117</v>
      </c>
      <c r="M865" s="1">
        <f t="shared" si="922"/>
        <v>3.8580055236816402E-2</v>
      </c>
      <c r="N865">
        <v>113</v>
      </c>
      <c r="O865" t="s">
        <v>17</v>
      </c>
    </row>
    <row r="866" spans="1:15" x14ac:dyDescent="0.45">
      <c r="B866">
        <v>8</v>
      </c>
      <c r="E866" s="1">
        <v>1536840817.6010001</v>
      </c>
      <c r="F866" s="1">
        <f t="shared" ref="F866" si="949">E866-G866+0.13</f>
        <v>0.10257018089294434</v>
      </c>
      <c r="G866" s="1">
        <v>1536840817.6284299</v>
      </c>
      <c r="H866">
        <f>G866-I866</f>
        <v>8.8660001754760742E-2</v>
      </c>
      <c r="I866" s="1">
        <v>1536840817.5397699</v>
      </c>
      <c r="M866" s="1">
        <f t="shared" si="922"/>
        <v>0.19123018264770508</v>
      </c>
      <c r="N866">
        <v>104</v>
      </c>
      <c r="O866" t="s">
        <v>17</v>
      </c>
    </row>
    <row r="867" spans="1:15" x14ac:dyDescent="0.45">
      <c r="B867" t="s">
        <v>3</v>
      </c>
      <c r="C867">
        <f>C860+C862+C864</f>
        <v>0.21142029762268066</v>
      </c>
      <c r="F867">
        <f t="shared" ref="F867" si="950">SUM(F859:F866)</f>
        <v>0.32528972625732422</v>
      </c>
      <c r="H867">
        <f>SUM(H859:H866)</f>
        <v>1.2343001365661621</v>
      </c>
      <c r="K867">
        <f>K859+K861+K863+K865</f>
        <v>0.3015899658203125</v>
      </c>
      <c r="M867" t="s">
        <v>18</v>
      </c>
      <c r="N867" t="s">
        <v>10</v>
      </c>
      <c r="O867" t="s">
        <v>11</v>
      </c>
    </row>
    <row r="868" spans="1:15" x14ac:dyDescent="0.45">
      <c r="A868">
        <v>97</v>
      </c>
      <c r="B868">
        <v>1</v>
      </c>
      <c r="E868" s="1">
        <v>1536840820.0323999</v>
      </c>
      <c r="F868" s="1">
        <f t="shared" ref="F868" si="951">G868-E868-0.13</f>
        <v>8.9901638031005815E-3</v>
      </c>
      <c r="G868" s="1">
        <v>1536840820.1713901</v>
      </c>
      <c r="H868">
        <f>I868-G868</f>
        <v>6.4280033111572266E-2</v>
      </c>
      <c r="I868" s="1">
        <v>1536840820.2356701</v>
      </c>
      <c r="K868">
        <f>I869-I868</f>
        <v>7.2100162506103516E-3</v>
      </c>
      <c r="M868" s="1">
        <f t="shared" ref="M868:M870" si="952">F868+H868</f>
        <v>7.3270196914672847E-2</v>
      </c>
      <c r="N868" s="2">
        <v>169</v>
      </c>
      <c r="O868" s="2" t="s">
        <v>12</v>
      </c>
    </row>
    <row r="869" spans="1:15" x14ac:dyDescent="0.45">
      <c r="B869">
        <v>2</v>
      </c>
      <c r="C869">
        <f>E870-E869</f>
        <v>3.6599636077880859E-3</v>
      </c>
      <c r="E869" s="1">
        <v>1536840820.3671</v>
      </c>
      <c r="F869" s="1">
        <f t="shared" ref="F869" si="953">E869-G869+0.13</f>
        <v>0.10258996963500977</v>
      </c>
      <c r="G869" s="1">
        <v>1536840820.39451</v>
      </c>
      <c r="H869">
        <f>G869-I869</f>
        <v>0.15162992477416992</v>
      </c>
      <c r="I869" s="1">
        <v>1536840820.2428801</v>
      </c>
      <c r="M869" s="1">
        <f t="shared" si="952"/>
        <v>0.25421989440917969</v>
      </c>
      <c r="N869" s="2">
        <v>122</v>
      </c>
      <c r="O869" s="2" t="s">
        <v>13</v>
      </c>
    </row>
    <row r="870" spans="1:15" x14ac:dyDescent="0.45">
      <c r="B870">
        <v>3</v>
      </c>
      <c r="E870" s="1">
        <v>1536840820.37076</v>
      </c>
      <c r="F870" s="1">
        <f t="shared" ref="F870" si="954">G870-E870-0.13</f>
        <v>3.3401203155517534E-3</v>
      </c>
      <c r="G870" s="1">
        <v>1536840820.5041001</v>
      </c>
      <c r="H870">
        <f>I870-G870</f>
        <v>7.0199966430664063E-2</v>
      </c>
      <c r="I870" s="1">
        <v>1536840820.5743001</v>
      </c>
      <c r="K870">
        <f>I871-I870</f>
        <v>4.7539949417114258E-2</v>
      </c>
      <c r="M870" s="1">
        <f t="shared" si="952"/>
        <v>7.3540086746215816E-2</v>
      </c>
      <c r="N870" s="2">
        <v>201</v>
      </c>
      <c r="O870" s="2" t="s">
        <v>12</v>
      </c>
    </row>
    <row r="871" spans="1:15" x14ac:dyDescent="0.45">
      <c r="B871">
        <v>4</v>
      </c>
      <c r="C871">
        <f>E872-E871</f>
        <v>0.14818978309631348</v>
      </c>
      <c r="E871" s="1">
        <v>1536840820.9804101</v>
      </c>
      <c r="F871" s="1">
        <f t="shared" ref="F871" si="955">E871-G871+0.13</f>
        <v>0.10602009773254395</v>
      </c>
      <c r="G871" s="1">
        <v>1536840821.00439</v>
      </c>
      <c r="H871">
        <f>G871-I871</f>
        <v>0.38255000114440918</v>
      </c>
      <c r="I871" s="1">
        <v>1536840820.62184</v>
      </c>
      <c r="M871" s="1">
        <f t="shared" si="922"/>
        <v>0.48857009887695313</v>
      </c>
      <c r="N871" s="2">
        <v>616</v>
      </c>
      <c r="O871" s="2" t="s">
        <v>14</v>
      </c>
    </row>
    <row r="872" spans="1:15" x14ac:dyDescent="0.45">
      <c r="B872">
        <v>5</v>
      </c>
      <c r="E872" s="1">
        <v>1536840821.1285999</v>
      </c>
      <c r="F872" s="1">
        <f t="shared" ref="F872" si="956">G872-E872-0.13</f>
        <v>3.9302062988281206E-3</v>
      </c>
      <c r="G872" s="1">
        <v>1536840821.2625301</v>
      </c>
      <c r="H872">
        <f>I872-G872</f>
        <v>0.18842983245849609</v>
      </c>
      <c r="I872" s="1">
        <v>1536840821.4509599</v>
      </c>
      <c r="K872">
        <f>I873-I872</f>
        <v>8.9560031890869141E-2</v>
      </c>
      <c r="M872" s="1">
        <f t="shared" si="922"/>
        <v>0.19236003875732421</v>
      </c>
      <c r="N872" s="2">
        <v>438</v>
      </c>
      <c r="O872" s="2" t="s">
        <v>15</v>
      </c>
    </row>
    <row r="873" spans="1:15" x14ac:dyDescent="0.45">
      <c r="B873">
        <v>6</v>
      </c>
      <c r="C873">
        <f>E874-E873</f>
        <v>4.0659904479980469E-2</v>
      </c>
      <c r="E873" s="1">
        <v>1536840821.59677</v>
      </c>
      <c r="F873" s="1">
        <f t="shared" ref="F873" si="957">E873-G873+0.13</f>
        <v>4.9209957122802739E-2</v>
      </c>
      <c r="G873" s="1">
        <v>1536840821.6775601</v>
      </c>
      <c r="H873">
        <f>G873-I873</f>
        <v>0.13704013824462891</v>
      </c>
      <c r="I873" s="1">
        <v>1536840821.54052</v>
      </c>
      <c r="M873" s="1">
        <f t="shared" si="922"/>
        <v>0.18625009536743165</v>
      </c>
      <c r="N873" s="2">
        <v>129</v>
      </c>
      <c r="O873" s="2" t="s">
        <v>16</v>
      </c>
    </row>
    <row r="874" spans="1:15" x14ac:dyDescent="0.45">
      <c r="B874">
        <v>7</v>
      </c>
      <c r="E874" s="1">
        <v>1536840821.63743</v>
      </c>
      <c r="F874" s="1">
        <f t="shared" ref="F874" si="958">G874-E874-0.13</f>
        <v>4.0200901031494096E-3</v>
      </c>
      <c r="G874" s="1">
        <v>1536840821.77145</v>
      </c>
      <c r="H874">
        <f>I874-G874</f>
        <v>1.884007453918457E-2</v>
      </c>
      <c r="I874" s="1">
        <v>1536840821.7902901</v>
      </c>
      <c r="K874">
        <f>I875-I874</f>
        <v>0.13625979423522949</v>
      </c>
      <c r="M874" s="1">
        <f t="shared" si="922"/>
        <v>2.286016464233398E-2</v>
      </c>
      <c r="N874" s="2">
        <v>113</v>
      </c>
      <c r="O874" s="2" t="s">
        <v>17</v>
      </c>
    </row>
    <row r="875" spans="1:15" x14ac:dyDescent="0.45">
      <c r="B875">
        <v>8</v>
      </c>
      <c r="E875" s="1">
        <v>1536840822.0039799</v>
      </c>
      <c r="F875" s="1">
        <f t="shared" ref="F875" si="959">E875-G875+0.13</f>
        <v>0.11666000366210938</v>
      </c>
      <c r="G875" s="1">
        <v>1536840822.0173199</v>
      </c>
      <c r="H875">
        <f>G875-I875</f>
        <v>9.077000617980957E-2</v>
      </c>
      <c r="I875" s="1">
        <v>1536840821.9265499</v>
      </c>
      <c r="M875" s="1">
        <f t="shared" si="922"/>
        <v>0.20743000984191895</v>
      </c>
      <c r="N875" s="2">
        <v>104</v>
      </c>
      <c r="O875" s="2" t="s">
        <v>17</v>
      </c>
    </row>
    <row r="876" spans="1:15" x14ac:dyDescent="0.45">
      <c r="B876" t="s">
        <v>3</v>
      </c>
      <c r="C876">
        <f>C869+C871+C873</f>
        <v>0.19250965118408203</v>
      </c>
      <c r="F876">
        <f t="shared" ref="F876" si="960">SUM(F868:F875)</f>
        <v>0.3947606086730957</v>
      </c>
      <c r="H876">
        <f>SUM(H868:H875)</f>
        <v>1.1037399768829346</v>
      </c>
      <c r="K876">
        <f>K868+K870+K872+K874</f>
        <v>0.28056979179382324</v>
      </c>
      <c r="M876" t="s">
        <v>18</v>
      </c>
      <c r="N876" s="2" t="s">
        <v>10</v>
      </c>
      <c r="O876" s="2" t="s">
        <v>11</v>
      </c>
    </row>
    <row r="877" spans="1:15" x14ac:dyDescent="0.45">
      <c r="A877">
        <v>98</v>
      </c>
      <c r="B877">
        <v>1</v>
      </c>
      <c r="E877" s="1">
        <v>1536840824.55808</v>
      </c>
      <c r="F877" s="1">
        <f t="shared" ref="F877" si="961">G877-E877-0.13</f>
        <v>6.8899345397949174E-3</v>
      </c>
      <c r="G877" s="1">
        <v>1536840824.6949699</v>
      </c>
      <c r="H877">
        <f>I877-G877</f>
        <v>6.2669992446899414E-2</v>
      </c>
      <c r="I877" s="1">
        <v>1536840824.7576399</v>
      </c>
      <c r="K877">
        <f>I878-I877</f>
        <v>6.0701370239257813E-3</v>
      </c>
      <c r="M877" s="1">
        <f t="shared" ref="M877:M879" si="962">F877+H877</f>
        <v>6.9559926986694331E-2</v>
      </c>
      <c r="N877">
        <v>169</v>
      </c>
      <c r="O877" t="s">
        <v>12</v>
      </c>
    </row>
    <row r="878" spans="1:15" x14ac:dyDescent="0.45">
      <c r="B878">
        <v>2</v>
      </c>
      <c r="C878">
        <f>E879-E878</f>
        <v>2.3869991302490234E-2</v>
      </c>
      <c r="E878" s="1">
        <v>1536840824.8740499</v>
      </c>
      <c r="F878" s="1">
        <f t="shared" ref="F878" si="963">E878-G878+0.13</f>
        <v>8.5529928207397465E-2</v>
      </c>
      <c r="G878" s="1">
        <v>1536840824.91852</v>
      </c>
      <c r="H878">
        <f>G878-I878</f>
        <v>0.15480995178222656</v>
      </c>
      <c r="I878" s="1">
        <v>1536840824.76371</v>
      </c>
      <c r="M878" s="1">
        <f t="shared" si="962"/>
        <v>0.24033987998962403</v>
      </c>
      <c r="N878">
        <v>122</v>
      </c>
      <c r="O878" t="s">
        <v>13</v>
      </c>
    </row>
    <row r="879" spans="1:15" x14ac:dyDescent="0.45">
      <c r="B879">
        <v>3</v>
      </c>
      <c r="E879" s="1">
        <v>1536840824.8979199</v>
      </c>
      <c r="F879" s="1">
        <f t="shared" ref="F879" si="964">G879-E879-0.13</f>
        <v>5.3101730346679643E-3</v>
      </c>
      <c r="G879" s="1">
        <v>1536840825.0332301</v>
      </c>
      <c r="H879">
        <f>I879-G879</f>
        <v>6.3040018081665039E-2</v>
      </c>
      <c r="I879" s="1">
        <v>1536840825.0962701</v>
      </c>
      <c r="K879">
        <f>I880-I879</f>
        <v>4.8619985580444336E-2</v>
      </c>
      <c r="M879" s="1">
        <f t="shared" si="962"/>
        <v>6.8350191116333003E-2</v>
      </c>
      <c r="N879">
        <v>201</v>
      </c>
      <c r="O879" t="s">
        <v>12</v>
      </c>
    </row>
    <row r="880" spans="1:15" x14ac:dyDescent="0.45">
      <c r="B880">
        <v>4</v>
      </c>
      <c r="C880">
        <f>E881-E880</f>
        <v>0.15705013275146484</v>
      </c>
      <c r="E880" s="1">
        <v>1536840825.4867699</v>
      </c>
      <c r="F880" s="1">
        <f t="shared" ref="F880" si="965">E880-G880+0.13</f>
        <v>8.8379983901977544E-2</v>
      </c>
      <c r="G880" s="1">
        <v>1536840825.5283899</v>
      </c>
      <c r="H880">
        <f>G880-I880</f>
        <v>0.3834998607635498</v>
      </c>
      <c r="I880" s="1">
        <v>1536840825.1448901</v>
      </c>
      <c r="M880" s="1">
        <f t="shared" si="922"/>
        <v>0.47187984466552735</v>
      </c>
      <c r="N880">
        <v>616</v>
      </c>
      <c r="O880" t="s">
        <v>14</v>
      </c>
    </row>
    <row r="881" spans="1:15" x14ac:dyDescent="0.45">
      <c r="B881">
        <v>5</v>
      </c>
      <c r="E881" s="1">
        <v>1536840825.64382</v>
      </c>
      <c r="F881" s="1">
        <f t="shared" ref="F881" si="966">G881-E881-0.13</f>
        <v>5.5700492858886674E-3</v>
      </c>
      <c r="G881" s="1">
        <v>1536840825.7793901</v>
      </c>
      <c r="H881">
        <f>I881-G881</f>
        <v>0.19350981712341309</v>
      </c>
      <c r="I881" s="1">
        <v>1536840825.9728999</v>
      </c>
      <c r="K881">
        <f>I882-I881</f>
        <v>9.393000602722168E-2</v>
      </c>
      <c r="M881" s="1">
        <f t="shared" si="922"/>
        <v>0.19907986640930175</v>
      </c>
      <c r="N881">
        <v>438</v>
      </c>
      <c r="O881" t="s">
        <v>15</v>
      </c>
    </row>
    <row r="882" spans="1:15" x14ac:dyDescent="0.45">
      <c r="B882">
        <v>6</v>
      </c>
      <c r="C882">
        <f>E883-E882</f>
        <v>4.5750141143798828E-2</v>
      </c>
      <c r="E882" s="1">
        <v>1536840826.1014199</v>
      </c>
      <c r="F882" s="1">
        <f t="shared" ref="F882" si="967">E882-G882+0.13</f>
        <v>2.9829864501953129E-2</v>
      </c>
      <c r="G882" s="1">
        <v>1536840826.2015901</v>
      </c>
      <c r="H882">
        <f>G882-I882</f>
        <v>0.13476014137268066</v>
      </c>
      <c r="I882" s="1">
        <v>1536840826.0668299</v>
      </c>
      <c r="M882" s="1">
        <f t="shared" si="922"/>
        <v>0.16459000587463379</v>
      </c>
      <c r="N882">
        <v>129</v>
      </c>
      <c r="O882" t="s">
        <v>16</v>
      </c>
    </row>
    <row r="883" spans="1:15" x14ac:dyDescent="0.45">
      <c r="B883">
        <v>7</v>
      </c>
      <c r="E883" s="1">
        <v>1536840826.1471701</v>
      </c>
      <c r="F883" s="1">
        <f t="shared" ref="F883" si="968">G883-E883-0.13</f>
        <v>5.2899074554443315E-3</v>
      </c>
      <c r="G883" s="1">
        <v>1536840826.28246</v>
      </c>
      <c r="H883">
        <f>I883-G883</f>
        <v>2.9819965362548828E-2</v>
      </c>
      <c r="I883" s="1">
        <v>1536840826.3122799</v>
      </c>
      <c r="K883">
        <f>I884-I883</f>
        <v>0.13727998733520508</v>
      </c>
      <c r="M883" s="1">
        <f t="shared" si="922"/>
        <v>3.510987281799316E-2</v>
      </c>
      <c r="N883">
        <v>113</v>
      </c>
      <c r="O883" t="s">
        <v>17</v>
      </c>
    </row>
    <row r="884" spans="1:15" x14ac:dyDescent="0.45">
      <c r="B884">
        <v>8</v>
      </c>
      <c r="E884" s="1">
        <v>1536840826.5106499</v>
      </c>
      <c r="F884" s="1">
        <f t="shared" ref="F884" si="969">E884-G884+0.13</f>
        <v>9.9280004501342778E-2</v>
      </c>
      <c r="G884" s="1">
        <v>1536840826.5413699</v>
      </c>
      <c r="H884">
        <f>G884-I884</f>
        <v>9.1809988021850586E-2</v>
      </c>
      <c r="I884" s="1">
        <v>1536840826.4495599</v>
      </c>
      <c r="M884" s="1">
        <f t="shared" si="922"/>
        <v>0.19108999252319336</v>
      </c>
      <c r="N884">
        <v>104</v>
      </c>
      <c r="O884" t="s">
        <v>17</v>
      </c>
    </row>
    <row r="885" spans="1:15" x14ac:dyDescent="0.45">
      <c r="B885" t="s">
        <v>3</v>
      </c>
      <c r="C885">
        <f>C878+C880+C882</f>
        <v>0.22667026519775391</v>
      </c>
      <c r="F885">
        <f t="shared" ref="F885" si="970">SUM(F877:F884)</f>
        <v>0.3260798454284668</v>
      </c>
      <c r="H885">
        <f>SUM(H877:H884)</f>
        <v>1.113919734954834</v>
      </c>
      <c r="K885">
        <f>K877+K879+K881+K883</f>
        <v>0.28590011596679688</v>
      </c>
      <c r="M885" t="s">
        <v>18</v>
      </c>
      <c r="N885" t="s">
        <v>10</v>
      </c>
      <c r="O885" t="s">
        <v>11</v>
      </c>
    </row>
    <row r="886" spans="1:15" x14ac:dyDescent="0.45">
      <c r="A886">
        <v>99</v>
      </c>
      <c r="B886">
        <v>1</v>
      </c>
      <c r="E886" s="1">
        <v>1536840830.1220901</v>
      </c>
      <c r="F886" s="1">
        <f t="shared" ref="F886" si="971">G886-E886-0.13</f>
        <v>1.1889810562133785E-2</v>
      </c>
      <c r="G886" s="1">
        <v>1536840830.2639799</v>
      </c>
      <c r="H886">
        <f>I886-G886</f>
        <v>9.552001953125E-2</v>
      </c>
      <c r="I886" s="1">
        <v>1536840830.3594999</v>
      </c>
      <c r="K886">
        <f>I887-I886</f>
        <v>6.5600872039794922E-3</v>
      </c>
      <c r="M886" s="1">
        <f t="shared" ref="M886:M888" si="972">F886+H886</f>
        <v>0.10740983009338378</v>
      </c>
      <c r="N886" s="2">
        <v>169</v>
      </c>
      <c r="O886" s="2" t="s">
        <v>12</v>
      </c>
    </row>
    <row r="887" spans="1:15" x14ac:dyDescent="0.45">
      <c r="B887">
        <v>2</v>
      </c>
      <c r="C887">
        <f>E888-E887</f>
        <v>1.8079996109008789E-2</v>
      </c>
      <c r="E887" s="1">
        <v>1536840830.5048499</v>
      </c>
      <c r="F887" s="1">
        <f t="shared" ref="F887" si="973">E887-G887+0.13</f>
        <v>0.11181986808776856</v>
      </c>
      <c r="G887" s="1">
        <v>1536840830.52303</v>
      </c>
      <c r="H887">
        <f>G887-I887</f>
        <v>0.15697002410888672</v>
      </c>
      <c r="I887" s="1">
        <v>1536840830.36606</v>
      </c>
      <c r="M887" s="1">
        <f t="shared" si="972"/>
        <v>0.26878989219665528</v>
      </c>
      <c r="N887" s="2">
        <v>122</v>
      </c>
      <c r="O887" s="2" t="s">
        <v>13</v>
      </c>
    </row>
    <row r="888" spans="1:15" x14ac:dyDescent="0.45">
      <c r="B888">
        <v>3</v>
      </c>
      <c r="E888" s="1">
        <v>1536840830.5229299</v>
      </c>
      <c r="F888" s="1">
        <f t="shared" ref="F888" si="974">G888-E888-0.13</f>
        <v>7.1901035308837846E-3</v>
      </c>
      <c r="G888" s="1">
        <v>1536840830.66012</v>
      </c>
      <c r="H888">
        <f>I888-G888</f>
        <v>0.1054999828338623</v>
      </c>
      <c r="I888" s="1">
        <v>1536840830.76562</v>
      </c>
      <c r="K888">
        <f>I889-I888</f>
        <v>4.7420024871826172E-2</v>
      </c>
      <c r="M888" s="1">
        <f t="shared" si="972"/>
        <v>0.11269008636474609</v>
      </c>
      <c r="N888" s="2">
        <v>201</v>
      </c>
      <c r="O888" s="2" t="s">
        <v>12</v>
      </c>
    </row>
    <row r="889" spans="1:15" x14ac:dyDescent="0.45">
      <c r="B889">
        <v>4</v>
      </c>
      <c r="C889">
        <f>E890-E889</f>
        <v>0.15520000457763672</v>
      </c>
      <c r="E889" s="1">
        <v>1536840831.11816</v>
      </c>
      <c r="F889" s="1">
        <f t="shared" ref="F889" si="975">E889-G889+0.13</f>
        <v>4.7740106582641606E-2</v>
      </c>
      <c r="G889" s="1">
        <v>1536840831.2004199</v>
      </c>
      <c r="H889">
        <f>G889-I889</f>
        <v>0.38737988471984863</v>
      </c>
      <c r="I889" s="1">
        <v>1536840830.81304</v>
      </c>
      <c r="M889" s="1">
        <f t="shared" si="922"/>
        <v>0.43511999130249024</v>
      </c>
      <c r="N889" s="2">
        <v>616</v>
      </c>
      <c r="O889" s="2" t="s">
        <v>14</v>
      </c>
    </row>
    <row r="890" spans="1:15" x14ac:dyDescent="0.45">
      <c r="B890">
        <v>5</v>
      </c>
      <c r="E890" s="1">
        <v>1536840831.27336</v>
      </c>
      <c r="F890" s="1">
        <f t="shared" ref="F890" si="976">G890-E890-0.13</f>
        <v>7.5899314880371049E-3</v>
      </c>
      <c r="G890" s="1">
        <v>1536840831.4109499</v>
      </c>
      <c r="H890">
        <f>I890-G890</f>
        <v>0.23132014274597168</v>
      </c>
      <c r="I890" s="1">
        <v>1536840831.6422701</v>
      </c>
      <c r="K890">
        <f>I891-I890</f>
        <v>9.0250015258789063E-2</v>
      </c>
      <c r="M890" s="1">
        <f t="shared" si="922"/>
        <v>0.23891007423400878</v>
      </c>
      <c r="N890" s="2">
        <v>438</v>
      </c>
      <c r="O890" s="2" t="s">
        <v>15</v>
      </c>
    </row>
    <row r="891" spans="1:15" x14ac:dyDescent="0.45">
      <c r="B891">
        <v>6</v>
      </c>
      <c r="C891">
        <f>E892-E891</f>
        <v>5.5600166320800781E-2</v>
      </c>
      <c r="E891" s="1">
        <v>1536840831.8362999</v>
      </c>
      <c r="F891" s="1">
        <f t="shared" ref="F891" si="977">E891-G891+0.13</f>
        <v>9.2659835815429692E-2</v>
      </c>
      <c r="G891" s="1">
        <v>1536840831.8736401</v>
      </c>
      <c r="H891">
        <f>G891-I891</f>
        <v>0.14111995697021484</v>
      </c>
      <c r="I891" s="1">
        <v>1536840831.7325201</v>
      </c>
      <c r="M891" s="1">
        <f t="shared" si="922"/>
        <v>0.23377979278564454</v>
      </c>
      <c r="N891" s="2">
        <v>129</v>
      </c>
      <c r="O891" s="2" t="s">
        <v>16</v>
      </c>
    </row>
    <row r="892" spans="1:15" x14ac:dyDescent="0.45">
      <c r="B892">
        <v>7</v>
      </c>
      <c r="E892" s="1">
        <v>1536840831.8919001</v>
      </c>
      <c r="F892" s="1">
        <f t="shared" ref="F892" si="978">G892-E892-0.13</f>
        <v>7.7699375152587846E-3</v>
      </c>
      <c r="G892" s="1">
        <v>1536840832.02967</v>
      </c>
      <c r="H892">
        <f>I892-G892</f>
        <v>1.9439935684204102E-2</v>
      </c>
      <c r="I892" s="1">
        <v>1536840832.0491099</v>
      </c>
      <c r="K892">
        <f>I893-I892</f>
        <v>0.13660001754760742</v>
      </c>
      <c r="M892" s="1">
        <f t="shared" si="922"/>
        <v>2.7209873199462886E-2</v>
      </c>
      <c r="N892" s="2">
        <v>113</v>
      </c>
      <c r="O892" s="2" t="s">
        <v>17</v>
      </c>
    </row>
    <row r="893" spans="1:15" x14ac:dyDescent="0.45">
      <c r="B893">
        <v>8</v>
      </c>
      <c r="E893" s="1">
        <v>1536840832.2460599</v>
      </c>
      <c r="F893" s="1">
        <f t="shared" ref="F893" si="979">E893-G893+0.13</f>
        <v>9.5119838714599614E-2</v>
      </c>
      <c r="G893" s="1">
        <v>1536840832.2809401</v>
      </c>
      <c r="H893">
        <f>G893-I893</f>
        <v>9.52301025390625E-2</v>
      </c>
      <c r="I893" s="1">
        <v>1536840832.18571</v>
      </c>
      <c r="M893" s="1">
        <f t="shared" si="922"/>
        <v>0.19034994125366211</v>
      </c>
      <c r="N893" s="2">
        <v>104</v>
      </c>
      <c r="O893" s="2" t="s">
        <v>17</v>
      </c>
    </row>
    <row r="894" spans="1:15" x14ac:dyDescent="0.45">
      <c r="B894" t="s">
        <v>3</v>
      </c>
      <c r="C894">
        <f>C887+C889+C891</f>
        <v>0.22888016700744629</v>
      </c>
      <c r="F894">
        <f t="shared" ref="F894" si="980">SUM(F886:F893)</f>
        <v>0.38177943229675293</v>
      </c>
      <c r="H894">
        <f>SUM(H886:H893)</f>
        <v>1.2324800491333008</v>
      </c>
      <c r="K894">
        <f>K886+K888+K890+K892</f>
        <v>0.28083014488220215</v>
      </c>
      <c r="M894" t="s">
        <v>18</v>
      </c>
      <c r="N894" s="2" t="s">
        <v>10</v>
      </c>
      <c r="O894" s="2" t="s">
        <v>11</v>
      </c>
    </row>
    <row r="895" spans="1:15" x14ac:dyDescent="0.45">
      <c r="A895">
        <v>100</v>
      </c>
      <c r="B895">
        <v>1</v>
      </c>
      <c r="E895" s="1">
        <v>1536840836.5540099</v>
      </c>
      <c r="F895" s="1">
        <f t="shared" ref="F895" si="981">G895-E895-0.13</f>
        <v>1.5030021667480464E-2</v>
      </c>
      <c r="G895" s="1">
        <v>1536840836.6990399</v>
      </c>
      <c r="H895">
        <f>I895-G895</f>
        <v>7.2240114212036133E-2</v>
      </c>
      <c r="I895" s="1">
        <v>1536840836.7712801</v>
      </c>
      <c r="K895">
        <f>I896-I895</f>
        <v>6.7999362945556641E-3</v>
      </c>
      <c r="M895" s="1">
        <f t="shared" ref="M895:M897" si="982">F895+H895</f>
        <v>8.7270135879516597E-2</v>
      </c>
      <c r="N895">
        <v>169</v>
      </c>
      <c r="O895" t="s">
        <v>12</v>
      </c>
    </row>
    <row r="896" spans="1:15" x14ac:dyDescent="0.45">
      <c r="B896">
        <v>2</v>
      </c>
      <c r="C896">
        <f>E897-E896</f>
        <v>2.9810190200805664E-2</v>
      </c>
      <c r="E896" s="1">
        <v>1536840836.8533199</v>
      </c>
      <c r="F896" s="1">
        <f t="shared" ref="F896" si="983">E896-G896+0.13</f>
        <v>4.5399789810180669E-2</v>
      </c>
      <c r="G896" s="1">
        <v>1536840836.9379201</v>
      </c>
      <c r="H896">
        <f>G896-I896</f>
        <v>0.15984010696411133</v>
      </c>
      <c r="I896" s="1">
        <v>1536840836.77808</v>
      </c>
      <c r="M896" s="1">
        <f t="shared" si="982"/>
        <v>0.205239896774292</v>
      </c>
      <c r="N896">
        <v>122</v>
      </c>
      <c r="O896" t="s">
        <v>13</v>
      </c>
    </row>
    <row r="897" spans="1:15" x14ac:dyDescent="0.45">
      <c r="B897">
        <v>3</v>
      </c>
      <c r="E897" s="1">
        <v>1536840836.8831301</v>
      </c>
      <c r="F897" s="1">
        <f t="shared" ref="F897" si="984">G897-E897-0.13</f>
        <v>9.5699977874755815E-3</v>
      </c>
      <c r="G897" s="1">
        <v>1536840837.0227001</v>
      </c>
      <c r="H897">
        <f>I897-G897</f>
        <v>8.7199926376342773E-2</v>
      </c>
      <c r="I897" s="1">
        <v>1536840837.1099</v>
      </c>
      <c r="K897">
        <f>I898-I897</f>
        <v>4.7699928283691406E-2</v>
      </c>
      <c r="M897" s="1">
        <f t="shared" si="982"/>
        <v>9.6769924163818355E-2</v>
      </c>
      <c r="N897">
        <v>201</v>
      </c>
      <c r="O897" t="s">
        <v>12</v>
      </c>
    </row>
    <row r="898" spans="1:15" x14ac:dyDescent="0.45">
      <c r="B898">
        <v>4</v>
      </c>
      <c r="C898">
        <f>E899-E898</f>
        <v>0.15263009071350098</v>
      </c>
      <c r="E898" s="1">
        <v>1536840837.4678199</v>
      </c>
      <c r="F898" s="1">
        <f t="shared" ref="F898" si="985">E898-G898+0.13</f>
        <v>5.0009851455688481E-2</v>
      </c>
      <c r="G898" s="1">
        <v>1536840837.5478101</v>
      </c>
      <c r="H898">
        <f>G898-I898</f>
        <v>0.39021015167236328</v>
      </c>
      <c r="I898" s="1">
        <v>1536840837.1575999</v>
      </c>
      <c r="M898" s="1">
        <f t="shared" si="922"/>
        <v>0.44022000312805176</v>
      </c>
      <c r="N898">
        <v>616</v>
      </c>
      <c r="O898" t="s">
        <v>14</v>
      </c>
    </row>
    <row r="899" spans="1:15" x14ac:dyDescent="0.45">
      <c r="B899">
        <v>5</v>
      </c>
      <c r="E899" s="1">
        <v>1536840837.62045</v>
      </c>
      <c r="F899" s="1">
        <f t="shared" ref="F899" si="986">G899-E899-0.13</f>
        <v>9.4999027252197221E-3</v>
      </c>
      <c r="G899" s="1">
        <v>1536840837.7599499</v>
      </c>
      <c r="H899">
        <f>I899-G899</f>
        <v>0.22663998603820801</v>
      </c>
      <c r="I899" s="1">
        <v>1536840837.9865899</v>
      </c>
      <c r="K899">
        <f>I900-I899</f>
        <v>9.1989994049072266E-2</v>
      </c>
      <c r="M899" s="1">
        <f t="shared" si="922"/>
        <v>0.23613988876342773</v>
      </c>
      <c r="N899">
        <v>438</v>
      </c>
      <c r="O899" t="s">
        <v>15</v>
      </c>
    </row>
    <row r="900" spans="1:15" x14ac:dyDescent="0.45">
      <c r="B900">
        <v>6</v>
      </c>
      <c r="C900">
        <f>E901-E900</f>
        <v>4.1290044784545898E-2</v>
      </c>
      <c r="E900" s="1">
        <v>1536840838.18452</v>
      </c>
      <c r="F900" s="1">
        <f t="shared" ref="F900" si="987">E900-G900+0.13</f>
        <v>9.3479995727539067E-2</v>
      </c>
      <c r="G900" s="1">
        <v>1536840838.22104</v>
      </c>
      <c r="H900">
        <f>G900-I900</f>
        <v>0.14246010780334473</v>
      </c>
      <c r="I900" s="1">
        <v>1536840838.0785799</v>
      </c>
      <c r="M900" s="1">
        <f t="shared" si="922"/>
        <v>0.23594010353088379</v>
      </c>
      <c r="N900">
        <v>129</v>
      </c>
      <c r="O900" t="s">
        <v>16</v>
      </c>
    </row>
    <row r="901" spans="1:15" x14ac:dyDescent="0.45">
      <c r="B901">
        <v>7</v>
      </c>
      <c r="E901" s="1">
        <v>1536840838.2258101</v>
      </c>
      <c r="F901" s="1">
        <f t="shared" ref="F901" si="988">G901-E901-0.13</f>
        <v>1.0130043029785152E-2</v>
      </c>
      <c r="G901" s="1">
        <v>1536840838.3659401</v>
      </c>
      <c r="H901">
        <f>I901-G901</f>
        <v>2.7459859848022461E-2</v>
      </c>
      <c r="I901" s="1">
        <v>1536840838.3934</v>
      </c>
      <c r="K901">
        <f>I902-I901</f>
        <v>0.13639998435974121</v>
      </c>
      <c r="M901" s="1">
        <f t="shared" si="922"/>
        <v>3.7589902877807613E-2</v>
      </c>
      <c r="N901">
        <v>113</v>
      </c>
      <c r="O901" t="s">
        <v>17</v>
      </c>
    </row>
    <row r="902" spans="1:15" x14ac:dyDescent="0.45">
      <c r="B902">
        <v>8</v>
      </c>
      <c r="E902" s="1">
        <v>1536840838.59376</v>
      </c>
      <c r="F902" s="1">
        <f t="shared" ref="F902" si="989">E902-G902+0.13</f>
        <v>9.5420007705688481E-2</v>
      </c>
      <c r="G902" s="1">
        <v>1536840838.62834</v>
      </c>
      <c r="H902">
        <f>G902-I902</f>
        <v>9.8540067672729492E-2</v>
      </c>
      <c r="I902" s="1">
        <v>1536840838.5297999</v>
      </c>
      <c r="M902" s="1">
        <f t="shared" si="922"/>
        <v>0.19396007537841797</v>
      </c>
      <c r="N902">
        <v>104</v>
      </c>
      <c r="O902" t="s">
        <v>17</v>
      </c>
    </row>
    <row r="903" spans="1:15" x14ac:dyDescent="0.45">
      <c r="B903" t="s">
        <v>3</v>
      </c>
      <c r="C903">
        <f>C896+C898+C900</f>
        <v>0.22373032569885254</v>
      </c>
      <c r="F903">
        <f t="shared" ref="F903" si="990">SUM(F895:F902)</f>
        <v>0.32853960990905762</v>
      </c>
      <c r="H903">
        <f>SUM(H895:H902)</f>
        <v>1.2045903205871582</v>
      </c>
      <c r="K903">
        <f>K895+K897+K899+K901</f>
        <v>0.28288984298706055</v>
      </c>
      <c r="M903" t="s">
        <v>18</v>
      </c>
      <c r="N903" t="s">
        <v>10</v>
      </c>
      <c r="O903" t="s">
        <v>11</v>
      </c>
    </row>
    <row r="904" spans="1:15" x14ac:dyDescent="0.45">
      <c r="A904">
        <v>101</v>
      </c>
      <c r="B904">
        <v>1</v>
      </c>
      <c r="E904" s="1">
        <v>1536840843.12972</v>
      </c>
      <c r="F904" s="1">
        <f t="shared" ref="F904" si="991">G904-E904-0.13</f>
        <v>1.2539978027343746E-2</v>
      </c>
      <c r="G904" s="1">
        <v>1536840843.27226</v>
      </c>
      <c r="H904">
        <f>I904-G904</f>
        <v>4.5819997787475586E-2</v>
      </c>
      <c r="I904" s="1">
        <v>1536840843.3180799</v>
      </c>
      <c r="K904">
        <f>I905-I904</f>
        <v>9.6499919891357422E-3</v>
      </c>
      <c r="M904" s="1">
        <f t="shared" ref="M904:M920" si="992">F904+H904</f>
        <v>5.8359975814819331E-2</v>
      </c>
      <c r="N904" s="2">
        <v>169</v>
      </c>
      <c r="O904" s="2" t="s">
        <v>12</v>
      </c>
    </row>
    <row r="905" spans="1:15" x14ac:dyDescent="0.45">
      <c r="B905">
        <v>2</v>
      </c>
      <c r="C905">
        <f>E906-E905</f>
        <v>1.79901123046875E-2</v>
      </c>
      <c r="E905" s="1">
        <v>1536840843.4087</v>
      </c>
      <c r="F905" s="1">
        <f t="shared" ref="F905" si="993">E905-G905+0.13</f>
        <v>5.0049905776977544E-2</v>
      </c>
      <c r="G905" s="1">
        <v>1536840843.4886501</v>
      </c>
      <c r="H905">
        <f>G905-I905</f>
        <v>0.16092014312744141</v>
      </c>
      <c r="I905" s="1">
        <v>1536840843.3277299</v>
      </c>
      <c r="M905" s="1">
        <f t="shared" si="992"/>
        <v>0.21097004890441895</v>
      </c>
      <c r="N905" s="2">
        <v>122</v>
      </c>
      <c r="O905" s="2" t="s">
        <v>13</v>
      </c>
    </row>
    <row r="906" spans="1:15" x14ac:dyDescent="0.45">
      <c r="B906">
        <v>3</v>
      </c>
      <c r="E906" s="1">
        <v>1536840843.4266901</v>
      </c>
      <c r="F906" s="1">
        <f t="shared" ref="F906" si="994">G906-E906-0.13</f>
        <v>1.1719818115234371E-2</v>
      </c>
      <c r="G906" s="1">
        <v>1536840843.5684099</v>
      </c>
      <c r="H906">
        <f>I906-G906</f>
        <v>8.8279962539672852E-2</v>
      </c>
      <c r="I906" s="1">
        <v>1536840843.6566899</v>
      </c>
      <c r="K906">
        <f>I907-I906</f>
        <v>5.2290201187133789E-2</v>
      </c>
      <c r="M906" s="1">
        <f t="shared" si="992"/>
        <v>9.9999780654907222E-2</v>
      </c>
      <c r="N906" s="2">
        <v>201</v>
      </c>
      <c r="O906" s="2" t="s">
        <v>12</v>
      </c>
    </row>
    <row r="907" spans="1:15" x14ac:dyDescent="0.45">
      <c r="B907">
        <v>4</v>
      </c>
      <c r="C907">
        <f>E908-E907</f>
        <v>0.15997004508972168</v>
      </c>
      <c r="E907" s="1">
        <v>1536840844.02039</v>
      </c>
      <c r="F907" s="1">
        <f t="shared" ref="F907" si="995">E907-G907+0.13</f>
        <v>5.2519922256469731E-2</v>
      </c>
      <c r="G907" s="1">
        <v>1536840844.0978701</v>
      </c>
      <c r="H907">
        <f>G907-I907</f>
        <v>0.38889002799987793</v>
      </c>
      <c r="I907" s="1">
        <v>1536840843.7089801</v>
      </c>
      <c r="M907" s="1">
        <f t="shared" si="992"/>
        <v>0.44140995025634766</v>
      </c>
      <c r="N907" s="2">
        <v>616</v>
      </c>
      <c r="O907" s="2" t="s">
        <v>14</v>
      </c>
    </row>
    <row r="908" spans="1:15" x14ac:dyDescent="0.45">
      <c r="B908">
        <v>5</v>
      </c>
      <c r="E908" s="1">
        <v>1536840844.1803601</v>
      </c>
      <c r="F908" s="1">
        <f t="shared" ref="F908" si="996">G908-E908-0.13</f>
        <v>1.2649888992309566E-2</v>
      </c>
      <c r="G908" s="1">
        <v>1536840844.32301</v>
      </c>
      <c r="H908">
        <f>I908-G908</f>
        <v>0.21034002304077148</v>
      </c>
      <c r="I908" s="1">
        <v>1536840844.53335</v>
      </c>
      <c r="K908">
        <f>I909-I908</f>
        <v>0.10452008247375488</v>
      </c>
      <c r="M908" s="1">
        <f t="shared" si="992"/>
        <v>0.22298991203308105</v>
      </c>
      <c r="N908" s="2">
        <v>438</v>
      </c>
      <c r="O908" s="2" t="s">
        <v>15</v>
      </c>
    </row>
    <row r="909" spans="1:15" x14ac:dyDescent="0.45">
      <c r="B909">
        <v>6</v>
      </c>
      <c r="C909">
        <f>E910-E909</f>
        <v>4.9610137939453125E-2</v>
      </c>
      <c r="E909" s="1">
        <v>1536840844.73945</v>
      </c>
      <c r="F909" s="1">
        <f t="shared" ref="F909" si="997">E909-G909+0.13</f>
        <v>9.8349933624267583E-2</v>
      </c>
      <c r="G909" s="1">
        <v>1536840844.7711</v>
      </c>
      <c r="H909">
        <f>G909-I909</f>
        <v>0.13322997093200684</v>
      </c>
      <c r="I909" s="1">
        <v>1536840844.6378701</v>
      </c>
      <c r="M909" s="1">
        <f t="shared" si="992"/>
        <v>0.23157990455627442</v>
      </c>
      <c r="N909" s="2">
        <v>129</v>
      </c>
      <c r="O909" s="2" t="s">
        <v>16</v>
      </c>
    </row>
    <row r="910" spans="1:15" x14ac:dyDescent="0.45">
      <c r="B910">
        <v>7</v>
      </c>
      <c r="E910" s="1">
        <v>1536840844.7890601</v>
      </c>
      <c r="F910" s="1">
        <f t="shared" ref="F910" si="998">G910-E910-0.13</f>
        <v>1.2229795455932613E-2</v>
      </c>
      <c r="G910" s="1">
        <v>1536840844.9312899</v>
      </c>
      <c r="H910">
        <f>I910-G910</f>
        <v>8.9001655578613281E-3</v>
      </c>
      <c r="I910" s="1">
        <v>1536840844.9401901</v>
      </c>
      <c r="K910">
        <f>I911-I910</f>
        <v>0.13638997077941895</v>
      </c>
      <c r="M910" s="1">
        <f t="shared" si="992"/>
        <v>2.1129961013793941E-2</v>
      </c>
      <c r="N910" s="2">
        <v>113</v>
      </c>
      <c r="O910" s="2" t="s">
        <v>17</v>
      </c>
    </row>
    <row r="911" spans="1:15" x14ac:dyDescent="0.45">
      <c r="B911">
        <v>8</v>
      </c>
      <c r="E911" s="1">
        <v>1536840845.1475799</v>
      </c>
      <c r="F911" s="1">
        <f t="shared" ref="F911" si="999">E911-G911+0.13</f>
        <v>9.9179868698120122E-2</v>
      </c>
      <c r="G911" s="1">
        <v>1536840845.1784</v>
      </c>
      <c r="H911">
        <f>G911-I911</f>
        <v>0.10181999206542969</v>
      </c>
      <c r="I911" s="1">
        <v>1536840845.07658</v>
      </c>
      <c r="M911" s="1">
        <f t="shared" si="992"/>
        <v>0.20099986076354981</v>
      </c>
      <c r="N911" s="2">
        <v>104</v>
      </c>
      <c r="O911" s="2" t="s">
        <v>17</v>
      </c>
    </row>
    <row r="912" spans="1:15" x14ac:dyDescent="0.45">
      <c r="B912" t="s">
        <v>3</v>
      </c>
      <c r="C912">
        <f>C905+C907+C909</f>
        <v>0.2275702953338623</v>
      </c>
      <c r="F912">
        <f t="shared" ref="F912" si="1000">SUM(F904:F911)</f>
        <v>0.34923911094665527</v>
      </c>
      <c r="H912">
        <f>SUM(H904:H911)</f>
        <v>1.1382002830505371</v>
      </c>
      <c r="K912">
        <f>K904+K906+K908+K910</f>
        <v>0.30285024642944336</v>
      </c>
      <c r="M912" t="s">
        <v>18</v>
      </c>
      <c r="N912" s="2" t="s">
        <v>10</v>
      </c>
      <c r="O912" s="2" t="s">
        <v>11</v>
      </c>
    </row>
    <row r="913" spans="1:15" x14ac:dyDescent="0.45">
      <c r="A913">
        <v>102</v>
      </c>
      <c r="B913">
        <v>1</v>
      </c>
      <c r="E913" s="1">
        <v>1536840852.1612401</v>
      </c>
      <c r="F913" s="1">
        <f t="shared" ref="F913" si="1001">G913-E913-0.13</f>
        <v>2.1239871978759761E-2</v>
      </c>
      <c r="G913" s="1">
        <v>1536840852.31248</v>
      </c>
      <c r="H913">
        <f>I913-G913</f>
        <v>4.963994026184082E-2</v>
      </c>
      <c r="I913" s="1">
        <v>1536840852.3621199</v>
      </c>
      <c r="K913">
        <f>I914-I913</f>
        <v>1.0850191116333008E-2</v>
      </c>
      <c r="M913" s="1">
        <f>F913+H913</f>
        <v>7.0879812240600581E-2</v>
      </c>
      <c r="N913">
        <v>169</v>
      </c>
      <c r="O913" t="s">
        <v>12</v>
      </c>
    </row>
    <row r="914" spans="1:15" x14ac:dyDescent="0.45">
      <c r="B914">
        <v>2</v>
      </c>
      <c r="C914">
        <f>E915-E914</f>
        <v>1.6250133514404297E-2</v>
      </c>
      <c r="E914" s="1">
        <v>1536840852.4191599</v>
      </c>
      <c r="F914" s="1">
        <f t="shared" ref="F914" si="1002">E914-G914+0.13</f>
        <v>1.2579803466796879E-2</v>
      </c>
      <c r="G914" s="1">
        <v>1536840852.5365801</v>
      </c>
      <c r="H914">
        <f>G914-I914</f>
        <v>0.16360998153686523</v>
      </c>
      <c r="I914" s="1">
        <v>1536840852.3729701</v>
      </c>
      <c r="M914" s="1">
        <f t="shared" ref="M914:M915" si="1003">F914+H914</f>
        <v>0.17618978500366211</v>
      </c>
      <c r="N914">
        <v>122</v>
      </c>
      <c r="O914" t="s">
        <v>13</v>
      </c>
    </row>
    <row r="915" spans="1:15" x14ac:dyDescent="0.45">
      <c r="B915">
        <v>3</v>
      </c>
      <c r="E915" s="1">
        <v>1536840852.43541</v>
      </c>
      <c r="F915" s="1">
        <f t="shared" ref="F915" si="1004">G915-E915-0.13</f>
        <v>1.5250082015991206E-2</v>
      </c>
      <c r="G915" s="1">
        <v>1536840852.5806601</v>
      </c>
      <c r="H915">
        <f>I915-G915</f>
        <v>5.2609920501708984E-2</v>
      </c>
      <c r="I915" s="1">
        <v>1536840852.63327</v>
      </c>
      <c r="K915">
        <f>I916-I915</f>
        <v>4.7729969024658203E-2</v>
      </c>
      <c r="M915" s="1">
        <f t="shared" si="1003"/>
        <v>6.7860002517700191E-2</v>
      </c>
      <c r="N915">
        <v>201</v>
      </c>
      <c r="O915" t="s">
        <v>12</v>
      </c>
    </row>
    <row r="916" spans="1:15" x14ac:dyDescent="0.45">
      <c r="B916">
        <v>4</v>
      </c>
      <c r="C916">
        <f>E917-E916</f>
        <v>0.16896986961364746</v>
      </c>
      <c r="E916" s="1">
        <v>1536840853.0323801</v>
      </c>
      <c r="F916" s="1">
        <f t="shared" ref="F916" si="1005">E916-G916+0.13</f>
        <v>1.89000415802002E-2</v>
      </c>
      <c r="G916" s="1">
        <v>1536840853.1434801</v>
      </c>
      <c r="H916">
        <f>G916-I916</f>
        <v>0.46248006820678711</v>
      </c>
      <c r="I916" s="1">
        <v>1536840852.681</v>
      </c>
      <c r="M916" s="1">
        <f t="shared" si="992"/>
        <v>0.48138010978698731</v>
      </c>
      <c r="N916">
        <v>616</v>
      </c>
      <c r="O916" t="s">
        <v>14</v>
      </c>
    </row>
    <row r="917" spans="1:15" x14ac:dyDescent="0.45">
      <c r="B917">
        <v>5</v>
      </c>
      <c r="E917" s="1">
        <v>1536840853.20135</v>
      </c>
      <c r="F917" s="1">
        <f t="shared" ref="F917" si="1006">G917-E917-0.13</f>
        <v>1.3850088119506831E-2</v>
      </c>
      <c r="G917" s="1">
        <v>1536840853.3452001</v>
      </c>
      <c r="H917">
        <f>I917-G917</f>
        <v>0.23219990730285645</v>
      </c>
      <c r="I917" s="1">
        <v>1536840853.5774</v>
      </c>
      <c r="K917">
        <f>I918-I917</f>
        <v>8.2289934158325195E-2</v>
      </c>
      <c r="M917" s="1">
        <f t="shared" si="992"/>
        <v>0.24604999542236328</v>
      </c>
      <c r="N917">
        <v>438</v>
      </c>
      <c r="O917" t="s">
        <v>15</v>
      </c>
    </row>
    <row r="918" spans="1:15" x14ac:dyDescent="0.45">
      <c r="B918">
        <v>6</v>
      </c>
      <c r="C918">
        <f>E919-E918</f>
        <v>5.4129838943481445E-2</v>
      </c>
      <c r="E918" s="1">
        <v>1536840853.7495201</v>
      </c>
      <c r="F918" s="1">
        <f t="shared" ref="F918" si="1007">E918-G918+0.13</f>
        <v>6.4960126876831059E-2</v>
      </c>
      <c r="G918" s="1">
        <v>1536840853.8145599</v>
      </c>
      <c r="H918">
        <f>G918-I918</f>
        <v>0.15487003326416016</v>
      </c>
      <c r="I918" s="1">
        <v>1536840853.6596899</v>
      </c>
      <c r="M918" s="1">
        <f t="shared" si="992"/>
        <v>0.21983016014099122</v>
      </c>
      <c r="N918">
        <v>129</v>
      </c>
      <c r="O918" t="s">
        <v>16</v>
      </c>
    </row>
    <row r="919" spans="1:15" x14ac:dyDescent="0.45">
      <c r="B919">
        <v>7</v>
      </c>
      <c r="E919" s="1">
        <v>1536840853.8036499</v>
      </c>
      <c r="F919" s="1">
        <f t="shared" ref="F919" si="1008">G919-E919-0.13</f>
        <v>1.0210151672363277E-2</v>
      </c>
      <c r="G919" s="1">
        <v>1536840853.9438601</v>
      </c>
      <c r="H919">
        <f>I919-G919</f>
        <v>-2.7100086212158203E-2</v>
      </c>
      <c r="I919" s="1">
        <v>1536840853.91676</v>
      </c>
      <c r="K919">
        <f>I920-I919</f>
        <v>0.13655996322631836</v>
      </c>
      <c r="M919" s="1">
        <f t="shared" si="992"/>
        <v>-1.6889934539794926E-2</v>
      </c>
      <c r="N919">
        <v>113</v>
      </c>
      <c r="O919" t="s">
        <v>17</v>
      </c>
    </row>
    <row r="920" spans="1:15" x14ac:dyDescent="0.45">
      <c r="B920">
        <v>8</v>
      </c>
      <c r="E920" s="1">
        <v>1536840854.05742</v>
      </c>
      <c r="F920" s="1">
        <f t="shared" ref="F920" si="1009">E920-G920+0.13</f>
        <v>3.5149936676025395E-2</v>
      </c>
      <c r="G920" s="1">
        <v>1536840854.1522701</v>
      </c>
      <c r="H920">
        <f>G920-I920</f>
        <v>9.895014762878418E-2</v>
      </c>
      <c r="I920" s="1">
        <v>1536840854.0533199</v>
      </c>
      <c r="M920" s="1">
        <f t="shared" si="992"/>
        <v>0.13410008430480957</v>
      </c>
      <c r="N920">
        <v>104</v>
      </c>
      <c r="O920" t="s">
        <v>17</v>
      </c>
    </row>
    <row r="921" spans="1:15" x14ac:dyDescent="0.45">
      <c r="B921" t="s">
        <v>3</v>
      </c>
      <c r="C921">
        <f>C914+C916+C918</f>
        <v>0.2393498420715332</v>
      </c>
      <c r="F921">
        <f t="shared" ref="F921" si="1010">SUM(F913:F920)</f>
        <v>0.19214010238647461</v>
      </c>
      <c r="H921">
        <f>SUM(H913:H920)</f>
        <v>1.1872599124908447</v>
      </c>
      <c r="K921">
        <f>K913+K915+K917+K919</f>
        <v>0.27743005752563477</v>
      </c>
    </row>
    <row r="925" spans="1:15" x14ac:dyDescent="0.45">
      <c r="L925" t="s">
        <v>19</v>
      </c>
      <c r="M925" s="2" t="s">
        <v>10</v>
      </c>
      <c r="N925" s="2" t="s">
        <v>11</v>
      </c>
    </row>
    <row r="926" spans="1:15" x14ac:dyDescent="0.45">
      <c r="K926">
        <v>1</v>
      </c>
      <c r="L926" s="1">
        <v>0.13626567513334947</v>
      </c>
      <c r="M926" s="2">
        <v>169</v>
      </c>
      <c r="N926" s="2" t="s">
        <v>12</v>
      </c>
    </row>
    <row r="927" spans="1:15" x14ac:dyDescent="0.45">
      <c r="K927">
        <v>2</v>
      </c>
      <c r="L927">
        <v>0.17033754386153896</v>
      </c>
      <c r="M927" s="2">
        <v>122</v>
      </c>
      <c r="N927" s="2" t="s">
        <v>13</v>
      </c>
    </row>
    <row r="928" spans="1:15" x14ac:dyDescent="0.45">
      <c r="K928">
        <v>3</v>
      </c>
      <c r="L928">
        <v>0.13428804911819126</v>
      </c>
      <c r="M928" s="2">
        <v>201</v>
      </c>
      <c r="N928" s="2" t="s">
        <v>12</v>
      </c>
    </row>
    <row r="929" spans="5:14" x14ac:dyDescent="0.45">
      <c r="K929">
        <v>4</v>
      </c>
      <c r="L929">
        <v>0.42205547828300366</v>
      </c>
      <c r="M929" s="2">
        <v>616</v>
      </c>
      <c r="N929" s="2" t="s">
        <v>14</v>
      </c>
    </row>
    <row r="930" spans="5:14" x14ac:dyDescent="0.45">
      <c r="K930">
        <v>5</v>
      </c>
      <c r="L930">
        <v>0.26966851589726493</v>
      </c>
      <c r="M930" s="2">
        <v>438</v>
      </c>
      <c r="N930" s="2" t="s">
        <v>15</v>
      </c>
    </row>
    <row r="931" spans="5:14" x14ac:dyDescent="0.45">
      <c r="E931"/>
      <c r="G931"/>
      <c r="I931"/>
      <c r="K931">
        <v>6</v>
      </c>
      <c r="L931">
        <v>0.15493392486198299</v>
      </c>
      <c r="M931">
        <v>129</v>
      </c>
      <c r="N931" t="s">
        <v>16</v>
      </c>
    </row>
    <row r="932" spans="5:14" x14ac:dyDescent="0.45">
      <c r="E932"/>
      <c r="G932"/>
      <c r="I932"/>
      <c r="K932">
        <v>7</v>
      </c>
      <c r="L932">
        <v>7.0959808686200401E-2</v>
      </c>
      <c r="M932">
        <v>113</v>
      </c>
      <c r="N932" t="s">
        <v>17</v>
      </c>
    </row>
    <row r="933" spans="5:14" x14ac:dyDescent="0.45">
      <c r="E933"/>
      <c r="G933"/>
      <c r="I933"/>
      <c r="K933">
        <v>8</v>
      </c>
      <c r="L933">
        <v>0.11970373471577975</v>
      </c>
      <c r="M933">
        <v>104</v>
      </c>
      <c r="N933" t="s">
        <v>17</v>
      </c>
    </row>
  </sheetData>
  <phoneticPr fontId="1" type="noConversion"/>
  <conditionalFormatting sqref="A4:XFD20 A934:XFD1000 O925:XFD933 A925:L933 A921:XFD924 A21:M920 P21:XFD920">
    <cfRule type="expression" dxfId="52" priority="52">
      <formula>MOD(ROW()-4,18)&lt;9</formula>
    </cfRule>
  </conditionalFormatting>
  <conditionalFormatting sqref="M926:N933">
    <cfRule type="expression" dxfId="103" priority="51">
      <formula>MOD(ROW()-4,18)&lt;9</formula>
    </cfRule>
  </conditionalFormatting>
  <conditionalFormatting sqref="N22:O38">
    <cfRule type="expression" dxfId="102" priority="50">
      <formula>MOD(ROW()-4,18)&lt;9</formula>
    </cfRule>
  </conditionalFormatting>
  <conditionalFormatting sqref="N40:O56">
    <cfRule type="expression" dxfId="101" priority="49">
      <formula>MOD(ROW()-4,18)&lt;9</formula>
    </cfRule>
  </conditionalFormatting>
  <conditionalFormatting sqref="N58:O74">
    <cfRule type="expression" dxfId="100" priority="48">
      <formula>MOD(ROW()-4,18)&lt;9</formula>
    </cfRule>
  </conditionalFormatting>
  <conditionalFormatting sqref="N76:O92">
    <cfRule type="expression" dxfId="99" priority="47">
      <formula>MOD(ROW()-4,18)&lt;9</formula>
    </cfRule>
  </conditionalFormatting>
  <conditionalFormatting sqref="N94:O110">
    <cfRule type="expression" dxfId="98" priority="46">
      <formula>MOD(ROW()-4,18)&lt;9</formula>
    </cfRule>
  </conditionalFormatting>
  <conditionalFormatting sqref="N112:O128">
    <cfRule type="expression" dxfId="97" priority="45">
      <formula>MOD(ROW()-4,18)&lt;9</formula>
    </cfRule>
  </conditionalFormatting>
  <conditionalFormatting sqref="N130:O146">
    <cfRule type="expression" dxfId="96" priority="44">
      <formula>MOD(ROW()-4,18)&lt;9</formula>
    </cfRule>
  </conditionalFormatting>
  <conditionalFormatting sqref="N148:O164">
    <cfRule type="expression" dxfId="95" priority="43">
      <formula>MOD(ROW()-4,18)&lt;9</formula>
    </cfRule>
  </conditionalFormatting>
  <conditionalFormatting sqref="N166:O182">
    <cfRule type="expression" dxfId="94" priority="42">
      <formula>MOD(ROW()-4,18)&lt;9</formula>
    </cfRule>
  </conditionalFormatting>
  <conditionalFormatting sqref="N184:O200">
    <cfRule type="expression" dxfId="93" priority="41">
      <formula>MOD(ROW()-4,18)&lt;9</formula>
    </cfRule>
  </conditionalFormatting>
  <conditionalFormatting sqref="N202:O218">
    <cfRule type="expression" dxfId="92" priority="40">
      <formula>MOD(ROW()-4,18)&lt;9</formula>
    </cfRule>
  </conditionalFormatting>
  <conditionalFormatting sqref="N220:O236">
    <cfRule type="expression" dxfId="91" priority="39">
      <formula>MOD(ROW()-4,18)&lt;9</formula>
    </cfRule>
  </conditionalFormatting>
  <conditionalFormatting sqref="N238:O254">
    <cfRule type="expression" dxfId="90" priority="38">
      <formula>MOD(ROW()-4,18)&lt;9</formula>
    </cfRule>
  </conditionalFormatting>
  <conditionalFormatting sqref="N256:O272">
    <cfRule type="expression" dxfId="89" priority="37">
      <formula>MOD(ROW()-4,18)&lt;9</formula>
    </cfRule>
  </conditionalFormatting>
  <conditionalFormatting sqref="N274:O290">
    <cfRule type="expression" dxfId="88" priority="36">
      <formula>MOD(ROW()-4,18)&lt;9</formula>
    </cfRule>
  </conditionalFormatting>
  <conditionalFormatting sqref="N292:O308">
    <cfRule type="expression" dxfId="87" priority="35">
      <formula>MOD(ROW()-4,18)&lt;9</formula>
    </cfRule>
  </conditionalFormatting>
  <conditionalFormatting sqref="N310:O326">
    <cfRule type="expression" dxfId="86" priority="34">
      <formula>MOD(ROW()-4,18)&lt;9</formula>
    </cfRule>
  </conditionalFormatting>
  <conditionalFormatting sqref="N328:O344">
    <cfRule type="expression" dxfId="85" priority="33">
      <formula>MOD(ROW()-4,18)&lt;9</formula>
    </cfRule>
  </conditionalFormatting>
  <conditionalFormatting sqref="N346:O362">
    <cfRule type="expression" dxfId="84" priority="32">
      <formula>MOD(ROW()-4,18)&lt;9</formula>
    </cfRule>
  </conditionalFormatting>
  <conditionalFormatting sqref="N364:O380">
    <cfRule type="expression" dxfId="83" priority="31">
      <formula>MOD(ROW()-4,18)&lt;9</formula>
    </cfRule>
  </conditionalFormatting>
  <conditionalFormatting sqref="N382:O398">
    <cfRule type="expression" dxfId="82" priority="30">
      <formula>MOD(ROW()-4,18)&lt;9</formula>
    </cfRule>
  </conditionalFormatting>
  <conditionalFormatting sqref="N400:O416">
    <cfRule type="expression" dxfId="81" priority="29">
      <formula>MOD(ROW()-4,18)&lt;9</formula>
    </cfRule>
  </conditionalFormatting>
  <conditionalFormatting sqref="N418:O434">
    <cfRule type="expression" dxfId="80" priority="28">
      <formula>MOD(ROW()-4,18)&lt;9</formula>
    </cfRule>
  </conditionalFormatting>
  <conditionalFormatting sqref="N436:O452">
    <cfRule type="expression" dxfId="79" priority="27">
      <formula>MOD(ROW()-4,18)&lt;9</formula>
    </cfRule>
  </conditionalFormatting>
  <conditionalFormatting sqref="N454:O470">
    <cfRule type="expression" dxfId="78" priority="26">
      <formula>MOD(ROW()-4,18)&lt;9</formula>
    </cfRule>
  </conditionalFormatting>
  <conditionalFormatting sqref="N472:O488">
    <cfRule type="expression" dxfId="77" priority="25">
      <formula>MOD(ROW()-4,18)&lt;9</formula>
    </cfRule>
  </conditionalFormatting>
  <conditionalFormatting sqref="N490:O506">
    <cfRule type="expression" dxfId="76" priority="24">
      <formula>MOD(ROW()-4,18)&lt;9</formula>
    </cfRule>
  </conditionalFormatting>
  <conditionalFormatting sqref="N508:O524">
    <cfRule type="expression" dxfId="75" priority="23">
      <formula>MOD(ROW()-4,18)&lt;9</formula>
    </cfRule>
  </conditionalFormatting>
  <conditionalFormatting sqref="N526:O542">
    <cfRule type="expression" dxfId="74" priority="22">
      <formula>MOD(ROW()-4,18)&lt;9</formula>
    </cfRule>
  </conditionalFormatting>
  <conditionalFormatting sqref="N544:O560">
    <cfRule type="expression" dxfId="73" priority="21">
      <formula>MOD(ROW()-4,18)&lt;9</formula>
    </cfRule>
  </conditionalFormatting>
  <conditionalFormatting sqref="N562:O578">
    <cfRule type="expression" dxfId="72" priority="20">
      <formula>MOD(ROW()-4,18)&lt;9</formula>
    </cfRule>
  </conditionalFormatting>
  <conditionalFormatting sqref="N580:O596">
    <cfRule type="expression" dxfId="71" priority="19">
      <formula>MOD(ROW()-4,18)&lt;9</formula>
    </cfRule>
  </conditionalFormatting>
  <conditionalFormatting sqref="N598:O614">
    <cfRule type="expression" dxfId="70" priority="18">
      <formula>MOD(ROW()-4,18)&lt;9</formula>
    </cfRule>
  </conditionalFormatting>
  <conditionalFormatting sqref="N616:O632">
    <cfRule type="expression" dxfId="69" priority="17">
      <formula>MOD(ROW()-4,18)&lt;9</formula>
    </cfRule>
  </conditionalFormatting>
  <conditionalFormatting sqref="N634:O650">
    <cfRule type="expression" dxfId="68" priority="16">
      <formula>MOD(ROW()-4,18)&lt;9</formula>
    </cfRule>
  </conditionalFormatting>
  <conditionalFormatting sqref="N652:O668">
    <cfRule type="expression" dxfId="67" priority="15">
      <formula>MOD(ROW()-4,18)&lt;9</formula>
    </cfRule>
  </conditionalFormatting>
  <conditionalFormatting sqref="N670:O686">
    <cfRule type="expression" dxfId="66" priority="14">
      <formula>MOD(ROW()-4,18)&lt;9</formula>
    </cfRule>
  </conditionalFormatting>
  <conditionalFormatting sqref="N688:O704">
    <cfRule type="expression" dxfId="65" priority="13">
      <formula>MOD(ROW()-4,18)&lt;9</formula>
    </cfRule>
  </conditionalFormatting>
  <conditionalFormatting sqref="N706:O722">
    <cfRule type="expression" dxfId="64" priority="12">
      <formula>MOD(ROW()-4,18)&lt;9</formula>
    </cfRule>
  </conditionalFormatting>
  <conditionalFormatting sqref="N724:O740">
    <cfRule type="expression" dxfId="63" priority="11">
      <formula>MOD(ROW()-4,18)&lt;9</formula>
    </cfRule>
  </conditionalFormatting>
  <conditionalFormatting sqref="N742:O758">
    <cfRule type="expression" dxfId="62" priority="10">
      <formula>MOD(ROW()-4,18)&lt;9</formula>
    </cfRule>
  </conditionalFormatting>
  <conditionalFormatting sqref="N760:O776">
    <cfRule type="expression" dxfId="61" priority="9">
      <formula>MOD(ROW()-4,18)&lt;9</formula>
    </cfRule>
  </conditionalFormatting>
  <conditionalFormatting sqref="N778:O794">
    <cfRule type="expression" dxfId="60" priority="8">
      <formula>MOD(ROW()-4,18)&lt;9</formula>
    </cfRule>
  </conditionalFormatting>
  <conditionalFormatting sqref="N796:O812">
    <cfRule type="expression" dxfId="59" priority="7">
      <formula>MOD(ROW()-4,18)&lt;9</formula>
    </cfRule>
  </conditionalFormatting>
  <conditionalFormatting sqref="N814:O830">
    <cfRule type="expression" dxfId="58" priority="6">
      <formula>MOD(ROW()-4,18)&lt;9</formula>
    </cfRule>
  </conditionalFormatting>
  <conditionalFormatting sqref="N832:O848">
    <cfRule type="expression" dxfId="57" priority="5">
      <formula>MOD(ROW()-4,18)&lt;9</formula>
    </cfRule>
  </conditionalFormatting>
  <conditionalFormatting sqref="N850:O866">
    <cfRule type="expression" dxfId="56" priority="4">
      <formula>MOD(ROW()-4,18)&lt;9</formula>
    </cfRule>
  </conditionalFormatting>
  <conditionalFormatting sqref="N868:O884">
    <cfRule type="expression" dxfId="55" priority="3">
      <formula>MOD(ROW()-4,18)&lt;9</formula>
    </cfRule>
  </conditionalFormatting>
  <conditionalFormatting sqref="N886:O902">
    <cfRule type="expression" dxfId="54" priority="2">
      <formula>MOD(ROW()-4,18)&lt;9</formula>
    </cfRule>
  </conditionalFormatting>
  <conditionalFormatting sqref="N904:O920">
    <cfRule type="expression" dxfId="53" priority="1">
      <formula>MOD(ROW()-4,18)&lt;9</formula>
    </cfRule>
  </conditionalFormatting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kys</dc:creator>
  <cp:lastModifiedBy>kys</cp:lastModifiedBy>
  <dcterms:created xsi:type="dcterms:W3CDTF">2018-09-13T12:31:07Z</dcterms:created>
  <dcterms:modified xsi:type="dcterms:W3CDTF">2018-09-14T07:46:35Z</dcterms:modified>
</cp:coreProperties>
</file>